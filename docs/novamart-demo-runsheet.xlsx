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un sheet" sheetId="1" state="visible" r:id="rId3"/>
    <sheet name="Coverage" sheetId="2" state="visible" r:id="rId4"/>
    <sheet name="Setup" sheetId="3" state="visible" r:id="rId5"/>
  </sheets>
  <definedNames>
    <definedName function="false" hidden="true" localSheetId="0" name="_xlnm._FilterDatabase" vbProcedure="false">'Run sheet'!$A$5:$K$28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<sst xmlns="http://schemas.openxmlformats.org/spreadsheetml/2006/main" count="267" uniqueCount="160">
  <si>
    <t xml:space="preserve">NovaMart — live demo run sheet</t>
  </si>
  <si>
    <t xml:space="preserve">23 scenarios · generated 2026-09-04 from the live database · pinned AS_OF_DATE=2026-09-01 (date shift 608 days)</t>
  </si>
  <si>
    <t xml:space="preserve">Ids are real rows. If you change AS_OF_DATE, regenerate with `npm run demo:build` or the day counts below stop being true.</t>
  </si>
  <si>
    <t xml:space="preserve">#</t>
  </si>
  <si>
    <t xml:space="preserve">Run</t>
  </si>
  <si>
    <t xml:space="preserve">Scenario</t>
  </si>
  <si>
    <t xml:space="preserve">Order id</t>
  </si>
  <si>
    <t xml:space="preserve">Customer id</t>
  </si>
  <si>
    <t xml:space="preserve">What to type</t>
  </si>
  <si>
    <t xml:space="preserve">Expected status</t>
  </si>
  <si>
    <t xml:space="preserve">Expected agent</t>
  </si>
  <si>
    <t xml:space="preserve">Reason code</t>
  </si>
  <si>
    <t xml:space="preserve">What it proves</t>
  </si>
  <si>
    <t xml:space="preserve">Tools exercised</t>
  </si>
  <si>
    <t xml:space="preserve">Where is my order</t>
  </si>
  <si>
    <t xml:space="preserve">Where is my order?</t>
  </si>
  <si>
    <t xml:space="preserve">resolved</t>
  </si>
  <si>
    <t xml:space="preserve">order-specialist</t>
  </si>
  <si>
    <t xml:space="preserve">—</t>
  </si>
  <si>
    <t xml:space="preserve">Placed 2026-09-01 (today). Says plainly that no tracking detail exists.</t>
  </si>
  <si>
    <t xml:space="preserve">get_order</t>
  </si>
  <si>
    <t xml:space="preserve">What did I order</t>
  </si>
  <si>
    <t xml:space="preserve">What items are in this order?</t>
  </si>
  <si>
    <t xml:space="preserve">4 line items, totals that add up.</t>
  </si>
  <si>
    <t xml:space="preserve">get_order, get_order_items</t>
  </si>
  <si>
    <t xml:space="preserve">Recent orders, no order id</t>
  </si>
  <si>
    <t xml:space="preserve">What have I ordered recently?</t>
  </si>
  <si>
    <t xml:space="preserve">8 orders, newest first. No order id supplied — this is the list path.</t>
  </si>
  <si>
    <t xml:space="preserve">list_orders_for_user</t>
  </si>
  <si>
    <t xml:space="preserve">Why was it cancelled</t>
  </si>
  <si>
    <t xml:space="preserve">Why was my order cancelled?</t>
  </si>
  <si>
    <t xml:space="preserve">Reports the cancelled status without inventing a reason the data does not hold.</t>
  </si>
  <si>
    <t xml:space="preserve">What did this cost</t>
  </si>
  <si>
    <t xml:space="preserve">How much did this order come to?</t>
  </si>
  <si>
    <t xml:space="preserve">Total straight from the row.</t>
  </si>
  <si>
    <t xml:space="preserve">Return, inside the window</t>
  </si>
  <si>
    <t xml:space="preserve">Can I still return this order?</t>
  </si>
  <si>
    <t xml:space="preserve">returns-advisor</t>
  </si>
  <si>
    <t xml:space="preserve">12 days ago — inside 14. Order AND policy cited in ONE hop (SAD chain exception).</t>
  </si>
  <si>
    <t xml:space="preserve">get_order, search_policy</t>
  </si>
  <si>
    <t xml:space="preserve">Return, just outside</t>
  </si>
  <si>
    <t xml:space="preserve">escalated</t>
  </si>
  <si>
    <t xml:space="preserve">15 days ago — the boundary. Two days from the case above, opposite answer.</t>
  </si>
  <si>
    <t xml:space="preserve">get_order, search_policy, create_ticket_stub</t>
  </si>
  <si>
    <t xml:space="preserve">Return, a year old</t>
  </si>
  <si>
    <t xml:space="preserve">I want to return this, is it too late?</t>
  </si>
  <si>
    <t xml:space="preserve">365 days ago. The unambiguous no.</t>
  </si>
  <si>
    <t xml:space="preserve">How long until my return is processed</t>
  </si>
  <si>
    <t xml:space="preserve">I sent this back. How long until it is processed?</t>
  </si>
  <si>
    <t xml:space="preserve">3-5 business days from policy PLUS real US holidays from the live Nager.Date API.</t>
  </si>
  <si>
    <t xml:space="preserve">get_order, search_policy, get_processing_calendar</t>
  </si>
  <si>
    <t xml:space="preserve">Shipping policy question</t>
  </si>
  <si>
    <t xml:space="preserve">How long does delivery usually take?</t>
  </si>
  <si>
    <t xml:space="preserve">faq-policy</t>
  </si>
  <si>
    <t xml:space="preserve">Answered from the corpus, with a citation.</t>
  </si>
  <si>
    <t xml:space="preserve">search_policy</t>
  </si>
  <si>
    <t xml:space="preserve">What cannot be returned</t>
  </si>
  <si>
    <t xml:space="preserve">Which items can't be returned?</t>
  </si>
  <si>
    <t xml:space="preserve">Corpus section quoted, not paraphrased from memory.</t>
  </si>
  <si>
    <t xml:space="preserve">What does Plus include</t>
  </si>
  <si>
    <t xml:space="preserve">What do I get with a Plus membership?</t>
  </si>
  <si>
    <t xml:space="preserve">Plus corpus, no membership read needed.</t>
  </si>
  <si>
    <t xml:space="preserve">Question the corpus cannot answer</t>
  </si>
  <si>
    <t xml:space="preserve">What is the capital of France?</t>
  </si>
  <si>
    <t xml:space="preserve">ungrounded</t>
  </si>
  <si>
    <t xml:space="preserve">THE grounding demo. It knows the answer and refuses to give it, because it is not in the corpus.</t>
  </si>
  <si>
    <t xml:space="preserve">search_policy, create_ticket_stub, format_handoff_summary</t>
  </si>
  <si>
    <t xml:space="preserve">Trial with days left</t>
  </si>
  <si>
    <t xml:space="preserve">Is my Plus trial still active?</t>
  </si>
  <si>
    <t xml:space="preserve">plus-specialist</t>
  </si>
  <si>
    <t xml:space="preserve">The DemoOverlay persona (ADR-14): active trial, 5 days left, and it moves with AS_OF_DATE.</t>
  </si>
  <si>
    <t xml:space="preserve">get_membership</t>
  </si>
  <si>
    <t xml:space="preserve">Which plan am I on</t>
  </si>
  <si>
    <t xml:space="preserve">What Plus plan am I on?</t>
  </si>
  <si>
    <t xml:space="preserve">plus_monthly, active — a real membership row.</t>
  </si>
  <si>
    <t xml:space="preserve">Annual plan</t>
  </si>
  <si>
    <t xml:space="preserve">When does my Plus renew?</t>
  </si>
  <si>
    <t xml:space="preserve">plus_annual — the other billing shape.</t>
  </si>
  <si>
    <t xml:space="preserve">Expired membership</t>
  </si>
  <si>
    <t xml:space="preserve">Is my Plus still active?</t>
  </si>
  <si>
    <t xml:space="preserve">An honest no. Expired is reported, not softened.</t>
  </si>
  <si>
    <t xml:space="preserve">Refund request</t>
  </si>
  <si>
    <t xml:space="preserve">I want a refund for this order</t>
  </si>
  <si>
    <t xml:space="preserve">escalation-handoff</t>
  </si>
  <si>
    <t xml:space="preserve">payment_or_refund</t>
  </si>
  <si>
    <t xml:space="preserve">THE safety demo. No money tool exists in the process — this is structural, not a prompt asking nicely.</t>
  </si>
  <si>
    <t xml:space="preserve">create_ticket_stub, format_handoff_summary</t>
  </si>
  <si>
    <t xml:space="preserve">Restricted action</t>
  </si>
  <si>
    <t xml:space="preserve">Please cancel my Plus membership</t>
  </si>
  <si>
    <t xml:space="preserve">restricted_action</t>
  </si>
  <si>
    <t xml:space="preserve">Never claims to have cancelled it.</t>
  </si>
  <si>
    <t xml:space="preserve">App crash with a version</t>
  </si>
  <si>
    <t xml:space="preserve">The app keeps crashing on checkout, I'm on Android 3.2.0</t>
  </si>
  <si>
    <t xml:space="preserve">Troubleshooting corpus has the Android 3.2.0 case. Device and version are captured from the customer's own words at runtime, not re-typed by the model.</t>
  </si>
  <si>
    <t xml:space="preserve">Order that does not exist</t>
  </si>
  <si>
    <t xml:space="preserve">needs_input</t>
  </si>
  <si>
    <t xml:space="preserve">No invented tracking number. Asks rather than guesses.</t>
  </si>
  <si>
    <t xml:space="preserve">No order number given</t>
  </si>
  <si>
    <t xml:space="preserve">triage-router</t>
  </si>
  <si>
    <t xml:space="preserve">One clarifying question, and it stops.</t>
  </si>
  <si>
    <t xml:space="preserve">Customer asks for a person</t>
  </si>
  <si>
    <t xml:space="preserve">I'd like to talk to a human please</t>
  </si>
  <si>
    <t xml:space="preserve">customer_requested_human</t>
  </si>
  <si>
    <t xml:space="preserve">Also reachable from the 'Talk to a human' button.</t>
  </si>
  <si>
    <t xml:space="preserve">Result tally</t>
  </si>
  <si>
    <t xml:space="preserve">PASS</t>
  </si>
  <si>
    <t xml:space="preserve">FAIL</t>
  </si>
  <si>
    <t xml:space="preserve">SKIP</t>
  </si>
  <si>
    <t xml:space="preserve">Not run</t>
  </si>
  <si>
    <t xml:space="preserve">Total</t>
  </si>
  <si>
    <t xml:space="preserve">Coverage matrix</t>
  </si>
  <si>
    <t xml:space="preserve">Which scenario exercises what. A row with no X is a gap in the demo set.</t>
  </si>
  <si>
    <t xml:space="preserve">Dimension</t>
  </si>
  <si>
    <t xml:space="preserve">Value</t>
  </si>
  <si>
    <t xml:space="preserve">Scenarios</t>
  </si>
  <si>
    <t xml:space="preserve">Count</t>
  </si>
  <si>
    <t xml:space="preserve">Agent</t>
  </si>
  <si>
    <t xml:space="preserve">1, 2, 3, 4, 5, 21</t>
  </si>
  <si>
    <t xml:space="preserve">10, 11, 12, 13, 20</t>
  </si>
  <si>
    <t xml:space="preserve">14, 15, 16, 17</t>
  </si>
  <si>
    <t xml:space="preserve">6, 7, 8, 9</t>
  </si>
  <si>
    <t xml:space="preserve">18, 19, 23</t>
  </si>
  <si>
    <t xml:space="preserve">22</t>
  </si>
  <si>
    <t xml:space="preserve">Status</t>
  </si>
  <si>
    <t xml:space="preserve">1, 2, 3, 4, 5, 6, 9, 10, 11, 12, 14, 15, 16, 17, 20</t>
  </si>
  <si>
    <t xml:space="preserve">7, 8, 13, 18, 19, 23</t>
  </si>
  <si>
    <t xml:space="preserve">21, 22</t>
  </si>
  <si>
    <t xml:space="preserve">18</t>
  </si>
  <si>
    <t xml:space="preserve">19</t>
  </si>
  <si>
    <t xml:space="preserve">13</t>
  </si>
  <si>
    <t xml:space="preserve">23</t>
  </si>
  <si>
    <t xml:space="preserve">Tool</t>
  </si>
  <si>
    <t xml:space="preserve">1, 2, 4, 5, 6, 7, 8, 9, 21</t>
  </si>
  <si>
    <t xml:space="preserve">get_order_items</t>
  </si>
  <si>
    <t xml:space="preserve">2</t>
  </si>
  <si>
    <t xml:space="preserve">3</t>
  </si>
  <si>
    <t xml:space="preserve">6, 7, 8, 9, 10, 11, 12, 13, 20</t>
  </si>
  <si>
    <t xml:space="preserve">get_processing_calendar</t>
  </si>
  <si>
    <t xml:space="preserve">9</t>
  </si>
  <si>
    <t xml:space="preserve">create_ticket_stub</t>
  </si>
  <si>
    <t xml:space="preserve">7, 13, 18, 19, 23</t>
  </si>
  <si>
    <t xml:space="preserve">format_handoff_summary</t>
  </si>
  <si>
    <t xml:space="preserve">13, 18, 19, 23</t>
  </si>
  <si>
    <t xml:space="preserve">How to run the demo</t>
  </si>
  <si>
    <t xml:space="preserve">1. Start the app on the real crew</t>
  </si>
  <si>
    <t xml:space="preserve">CHAT_ENGINE=sdk AS_OF_DATE=2026-09-01 SDK_STREAM_MODE=live OPERATOR_KEY=demo-secret npm run dev</t>
  </si>
  <si>
    <t xml:space="preserve">2. Open the demo picker</t>
  </si>
  <si>
    <t xml:space="preserve">http://localhost:3000/?demo=1</t>
  </si>
  <si>
    <t xml:space="preserve">Each chip fills the order id and the question. You still press Run.</t>
  </si>
  <si>
    <t xml:space="preserve">Chips are tinted by expected outcome: green resolved, violet escalated, amber needs-input.</t>
  </si>
  <si>
    <t xml:space="preserve">3. Confirm you are on the crew, not the keyless fallback</t>
  </si>
  <si>
    <t xml:space="preserve">curl -s localhost:3000/api/health   →   "engine":"sdk"</t>
  </si>
  <si>
    <t xml:space="preserve">4. After the demo</t>
  </si>
  <si>
    <t xml:space="preserve">npm run observability      what it cost, latency, error rate</t>
  </si>
  <si>
    <t xml:space="preserve">Notes</t>
  </si>
  <si>
    <t xml:space="preserve">SDK_STREAM_MODE=live matters. The default (final) shows nothing for 10-16s then dumps the</t>
  </si>
  <si>
    <t xml:space="preserve">whole answer at once; live streams it as it is written.</t>
  </si>
  <si>
    <t xml:space="preserve">Cost is roughly $0.20-0.25 per turn, so all 23 is about $6.</t>
  </si>
  <si>
    <t xml:space="preserve">Pin AS_OF_DATE to 2026-09-01 or the day counts in the run sheet stop matching the screen.</t>
  </si>
  <si>
    <t xml:space="preserve">The picker lists real order ids — keep it off for anything customer-facing.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</si>
</sst>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2A44"/>
      <name val="Arial"/>
      <family val="0"/>
      <charset val="1"/>
    </font>
    <font>
      <sz val="9"/>
      <color rgb="FF5B627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0F7A56"/>
      <name val="Arial"/>
      <family val="0"/>
      <charset val="1"/>
    </font>
    <font>
      <b val="true"/>
      <sz val="10"/>
      <color rgb="FF6D4BC4"/>
      <name val="Arial"/>
      <family val="0"/>
      <charset val="1"/>
    </font>
    <font>
      <b val="true"/>
      <sz val="10"/>
      <color rgb="FFA85A12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1F4FD8"/>
      <name val="Courier New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2A44"/>
        <bgColor rgb="FF003366"/>
      </patternFill>
    </fill>
    <fill>
      <patternFill patternType="solid">
        <fgColor rgb="FFE6F6F0"/>
        <bgColor rgb="FFF1ECFD"/>
      </patternFill>
    </fill>
    <fill>
      <patternFill patternType="solid">
        <fgColor rgb="FFF1ECFD"/>
        <bgColor rgb="FFE6F6F0"/>
      </patternFill>
    </fill>
    <fill>
      <patternFill patternType="solid">
        <fgColor rgb="FFFDF1E3"/>
        <bgColor rgb="FFF1ECF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DE5"/>
      </left>
      <right style="thin">
        <color rgb="FFD9DDE5"/>
      </right>
      <top style="thin">
        <color rgb="FFD9DDE5"/>
      </top>
      <bottom style="thin">
        <color rgb="FFD9DDE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1F2A4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6F6F0"/>
          <bgColor rgb="FF000000"/>
        </patternFill>
      </fill>
    </dxf>
    <dxf>
      <fill>
        <patternFill patternType="solid">
          <fgColor rgb="FFF1ECFD"/>
          <bgColor rgb="FF000000"/>
        </patternFill>
      </fill>
    </dxf>
    <dxf>
      <fill>
        <patternFill patternType="solid">
          <fgColor rgb="FFFDF1E3"/>
          <bgColor rgb="FF000000"/>
        </patternFill>
      </fill>
    </dxf>
    <dxf>
      <fill>
        <patternFill patternType="solid">
          <fgColor rgb="FF0F7A56"/>
          <bgColor rgb="FF000000"/>
        </patternFill>
      </fill>
    </dxf>
    <dxf>
      <fill>
        <patternFill patternType="solid">
          <fgColor rgb="FF6D4BC4"/>
          <bgColor rgb="FF000000"/>
        </patternFill>
      </fill>
    </dxf>
    <dxf>
      <fill>
        <patternFill patternType="solid">
          <fgColor rgb="FFA85A12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F7A56"/>
      <rgbColor rgb="FFC0C0C0"/>
      <rgbColor rgb="FF808080"/>
      <rgbColor rgb="FF9999FF"/>
      <rgbColor rgb="FF993366"/>
      <rgbColor rgb="FFFDF1E3"/>
      <rgbColor rgb="FFE6F6F0"/>
      <rgbColor rgb="FF660066"/>
      <rgbColor rgb="FFFF8080"/>
      <rgbColor rgb="FF0066CC"/>
      <rgbColor rgb="FFD9DD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1ECFD"/>
      <rgbColor rgb="FFCCFFCC"/>
      <rgbColor rgb="FFFFFF99"/>
      <rgbColor rgb="FF99CCFF"/>
      <rgbColor rgb="FFFF99CC"/>
      <rgbColor rgb="FFCC99FF"/>
      <rgbColor rgb="FFFFCC99"/>
      <rgbColor rgb="FF1F4FD8"/>
      <rgbColor rgb="FF33CCCC"/>
      <rgbColor rgb="FF99CC00"/>
      <rgbColor rgb="FFFFCC00"/>
      <rgbColor rgb="FFFF9900"/>
      <rgbColor rgb="FFFF6600"/>
      <rgbColor rgb="FF5B6270"/>
      <rgbColor rgb="FF969696"/>
      <rgbColor rgb="FF003366"/>
      <rgbColor rgb="FF339966"/>
      <rgbColor rgb="FF003300"/>
      <rgbColor rgb="FF333300"/>
      <rgbColor rgb="FFA85A12"/>
      <rgbColor rgb="FF993366"/>
      <rgbColor rgb="FF6D4BC4"/>
      <rgbColor rgb="FF1F2A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51562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6"/>
    <col collapsed="false" customWidth="true" hidden="false" outlineLevel="0" max="3" min="3" style="0" width="26"/>
    <col collapsed="false" customWidth="true" hidden="false" outlineLevel="0" max="4" min="4" style="0" width="10"/>
    <col collapsed="false" customWidth="true" hidden="false" outlineLevel="0" max="5" min="5" style="0" width="12"/>
    <col collapsed="false" customWidth="true" hidden="false" outlineLevel="0" max="6" min="6" style="0" width="40"/>
    <col collapsed="false" customWidth="true" hidden="false" outlineLevel="0" max="7" min="7" style="0" width="15"/>
    <col collapsed="false" customWidth="true" hidden="false" outlineLevel="0" max="8" min="8" style="0" width="19"/>
    <col collapsed="false" customWidth="true" hidden="false" outlineLevel="0" max="9" min="9" style="0" width="20"/>
    <col collapsed="false" customWidth="true" hidden="false" outlineLevel="0" max="10" min="10" style="0" width="52"/>
    <col collapsed="false" customWidth="true" hidden="false" outlineLevel="0" max="11" min="11" style="0" width="34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5" customFormat="false" ht="27.75" hidden="false" customHeight="true" outlineLevel="0" collapsed="false">
      <c r="A5" s="3" t="s">
        <v>3</v>
      </c>
      <c r="B5" s="3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</row>
    <row r="6" customFormat="false" ht="23.85" hidden="false" customHeight="false" outlineLevel="0" collapsed="false">
      <c r="A6" s="5" t="n">
        <v>1</v>
      </c>
      <c r="B6" s="5"/>
      <c r="C6" s="6" t="s">
        <v>14</v>
      </c>
      <c r="D6" s="7" t="n">
        <v>46101</v>
      </c>
      <c r="E6" s="7"/>
      <c r="F6" s="6" t="s">
        <v>15</v>
      </c>
      <c r="G6" s="8" t="s">
        <v>16</v>
      </c>
      <c r="H6" s="9" t="s">
        <v>17</v>
      </c>
      <c r="I6" s="9" t="s">
        <v>18</v>
      </c>
      <c r="J6" s="6" t="s">
        <v>19</v>
      </c>
      <c r="K6" s="6" t="s">
        <v>20</v>
      </c>
    </row>
    <row r="7" customFormat="false" ht="15" hidden="false" customHeight="false" outlineLevel="0" collapsed="false">
      <c r="A7" s="5" t="n">
        <v>2</v>
      </c>
      <c r="B7" s="5"/>
      <c r="C7" s="6" t="s">
        <v>21</v>
      </c>
      <c r="D7" s="7" t="n">
        <v>45923</v>
      </c>
      <c r="E7" s="7"/>
      <c r="F7" s="6" t="s">
        <v>22</v>
      </c>
      <c r="G7" s="8" t="s">
        <v>16</v>
      </c>
      <c r="H7" s="9" t="s">
        <v>17</v>
      </c>
      <c r="I7" s="9" t="s">
        <v>18</v>
      </c>
      <c r="J7" s="6" t="s">
        <v>23</v>
      </c>
      <c r="K7" s="6" t="s">
        <v>24</v>
      </c>
    </row>
    <row r="8" customFormat="false" ht="15" hidden="false" customHeight="false" outlineLevel="0" collapsed="false">
      <c r="A8" s="5" t="n">
        <v>3</v>
      </c>
      <c r="B8" s="5"/>
      <c r="C8" s="6" t="s">
        <v>25</v>
      </c>
      <c r="D8" s="7"/>
      <c r="E8" s="7" t="n">
        <v>9970</v>
      </c>
      <c r="F8" s="6" t="s">
        <v>26</v>
      </c>
      <c r="G8" s="8" t="s">
        <v>16</v>
      </c>
      <c r="H8" s="9" t="s">
        <v>17</v>
      </c>
      <c r="I8" s="9" t="s">
        <v>18</v>
      </c>
      <c r="J8" s="6" t="s">
        <v>27</v>
      </c>
      <c r="K8" s="6" t="s">
        <v>28</v>
      </c>
    </row>
    <row r="9" customFormat="false" ht="23.85" hidden="false" customHeight="false" outlineLevel="0" collapsed="false">
      <c r="A9" s="5" t="n">
        <v>4</v>
      </c>
      <c r="B9" s="5"/>
      <c r="C9" s="6" t="s">
        <v>29</v>
      </c>
      <c r="D9" s="7" t="n">
        <v>46105</v>
      </c>
      <c r="E9" s="7"/>
      <c r="F9" s="6" t="s">
        <v>30</v>
      </c>
      <c r="G9" s="8" t="s">
        <v>16</v>
      </c>
      <c r="H9" s="9" t="s">
        <v>17</v>
      </c>
      <c r="I9" s="9" t="s">
        <v>18</v>
      </c>
      <c r="J9" s="6" t="s">
        <v>31</v>
      </c>
      <c r="K9" s="6" t="s">
        <v>20</v>
      </c>
    </row>
    <row r="10" customFormat="false" ht="15" hidden="false" customHeight="false" outlineLevel="0" collapsed="false">
      <c r="A10" s="5" t="n">
        <v>5</v>
      </c>
      <c r="B10" s="5"/>
      <c r="C10" s="6" t="s">
        <v>32</v>
      </c>
      <c r="D10" s="7" t="n">
        <v>43004</v>
      </c>
      <c r="E10" s="7"/>
      <c r="F10" s="6" t="s">
        <v>33</v>
      </c>
      <c r="G10" s="8" t="s">
        <v>16</v>
      </c>
      <c r="H10" s="9" t="s">
        <v>17</v>
      </c>
      <c r="I10" s="9" t="s">
        <v>18</v>
      </c>
      <c r="J10" s="6" t="s">
        <v>34</v>
      </c>
      <c r="K10" s="6" t="s">
        <v>20</v>
      </c>
    </row>
    <row r="11" customFormat="false" ht="23.85" hidden="false" customHeight="false" outlineLevel="0" collapsed="false">
      <c r="A11" s="5" t="n">
        <v>6</v>
      </c>
      <c r="B11" s="5"/>
      <c r="C11" s="6" t="s">
        <v>35</v>
      </c>
      <c r="D11" s="7" t="n">
        <v>43004</v>
      </c>
      <c r="E11" s="7"/>
      <c r="F11" s="6" t="s">
        <v>36</v>
      </c>
      <c r="G11" s="8" t="s">
        <v>16</v>
      </c>
      <c r="H11" s="9" t="s">
        <v>37</v>
      </c>
      <c r="I11" s="9" t="s">
        <v>18</v>
      </c>
      <c r="J11" s="6" t="s">
        <v>38</v>
      </c>
      <c r="K11" s="6" t="s">
        <v>39</v>
      </c>
    </row>
    <row r="12" customFormat="false" ht="23.85" hidden="false" customHeight="false" outlineLevel="0" collapsed="false">
      <c r="A12" s="5" t="n">
        <v>7</v>
      </c>
      <c r="B12" s="5"/>
      <c r="C12" s="6" t="s">
        <v>40</v>
      </c>
      <c r="D12" s="7" t="n">
        <v>42319</v>
      </c>
      <c r="E12" s="7"/>
      <c r="F12" s="6" t="s">
        <v>36</v>
      </c>
      <c r="G12" s="10" t="s">
        <v>41</v>
      </c>
      <c r="H12" s="9" t="s">
        <v>37</v>
      </c>
      <c r="I12" s="9" t="s">
        <v>18</v>
      </c>
      <c r="J12" s="6" t="s">
        <v>42</v>
      </c>
      <c r="K12" s="6" t="s">
        <v>43</v>
      </c>
    </row>
    <row r="13" customFormat="false" ht="15" hidden="false" customHeight="false" outlineLevel="0" collapsed="false">
      <c r="A13" s="5" t="n">
        <v>8</v>
      </c>
      <c r="B13" s="5"/>
      <c r="C13" s="6" t="s">
        <v>44</v>
      </c>
      <c r="D13" s="7" t="n">
        <v>1</v>
      </c>
      <c r="E13" s="7"/>
      <c r="F13" s="6" t="s">
        <v>45</v>
      </c>
      <c r="G13" s="10" t="s">
        <v>41</v>
      </c>
      <c r="H13" s="9" t="s">
        <v>37</v>
      </c>
      <c r="I13" s="9" t="s">
        <v>18</v>
      </c>
      <c r="J13" s="6" t="s">
        <v>46</v>
      </c>
      <c r="K13" s="6" t="s">
        <v>39</v>
      </c>
    </row>
    <row r="14" customFormat="false" ht="23.85" hidden="false" customHeight="false" outlineLevel="0" collapsed="false">
      <c r="A14" s="5" t="n">
        <v>9</v>
      </c>
      <c r="B14" s="5"/>
      <c r="C14" s="6" t="s">
        <v>47</v>
      </c>
      <c r="D14" s="7" t="n">
        <v>45538</v>
      </c>
      <c r="E14" s="7"/>
      <c r="F14" s="6" t="s">
        <v>48</v>
      </c>
      <c r="G14" s="8" t="s">
        <v>16</v>
      </c>
      <c r="H14" s="9" t="s">
        <v>37</v>
      </c>
      <c r="I14" s="9" t="s">
        <v>18</v>
      </c>
      <c r="J14" s="6" t="s">
        <v>49</v>
      </c>
      <c r="K14" s="6" t="s">
        <v>50</v>
      </c>
    </row>
    <row r="15" customFormat="false" ht="15" hidden="false" customHeight="false" outlineLevel="0" collapsed="false">
      <c r="A15" s="5" t="n">
        <v>10</v>
      </c>
      <c r="B15" s="5"/>
      <c r="C15" s="6" t="s">
        <v>51</v>
      </c>
      <c r="D15" s="7"/>
      <c r="E15" s="7"/>
      <c r="F15" s="6" t="s">
        <v>52</v>
      </c>
      <c r="G15" s="8" t="s">
        <v>16</v>
      </c>
      <c r="H15" s="9" t="s">
        <v>53</v>
      </c>
      <c r="I15" s="9" t="s">
        <v>18</v>
      </c>
      <c r="J15" s="6" t="s">
        <v>54</v>
      </c>
      <c r="K15" s="6" t="s">
        <v>55</v>
      </c>
    </row>
    <row r="16" customFormat="false" ht="15" hidden="false" customHeight="false" outlineLevel="0" collapsed="false">
      <c r="A16" s="5" t="n">
        <v>11</v>
      </c>
      <c r="B16" s="5"/>
      <c r="C16" s="6" t="s">
        <v>56</v>
      </c>
      <c r="D16" s="7"/>
      <c r="E16" s="7"/>
      <c r="F16" s="6" t="s">
        <v>57</v>
      </c>
      <c r="G16" s="8" t="s">
        <v>16</v>
      </c>
      <c r="H16" s="9" t="s">
        <v>53</v>
      </c>
      <c r="I16" s="9" t="s">
        <v>18</v>
      </c>
      <c r="J16" s="6" t="s">
        <v>58</v>
      </c>
      <c r="K16" s="6" t="s">
        <v>55</v>
      </c>
    </row>
    <row r="17" customFormat="false" ht="15" hidden="false" customHeight="false" outlineLevel="0" collapsed="false">
      <c r="A17" s="5" t="n">
        <v>12</v>
      </c>
      <c r="B17" s="5"/>
      <c r="C17" s="6" t="s">
        <v>59</v>
      </c>
      <c r="D17" s="7"/>
      <c r="E17" s="7"/>
      <c r="F17" s="6" t="s">
        <v>60</v>
      </c>
      <c r="G17" s="8" t="s">
        <v>16</v>
      </c>
      <c r="H17" s="9" t="s">
        <v>53</v>
      </c>
      <c r="I17" s="9" t="s">
        <v>18</v>
      </c>
      <c r="J17" s="6" t="s">
        <v>61</v>
      </c>
      <c r="K17" s="6" t="s">
        <v>55</v>
      </c>
    </row>
    <row r="18" customFormat="false" ht="23.85" hidden="false" customHeight="false" outlineLevel="0" collapsed="false">
      <c r="A18" s="5" t="n">
        <v>13</v>
      </c>
      <c r="B18" s="5"/>
      <c r="C18" s="6" t="s">
        <v>62</v>
      </c>
      <c r="D18" s="7"/>
      <c r="E18" s="7"/>
      <c r="F18" s="6" t="s">
        <v>63</v>
      </c>
      <c r="G18" s="10" t="s">
        <v>41</v>
      </c>
      <c r="H18" s="9" t="s">
        <v>53</v>
      </c>
      <c r="I18" s="9" t="s">
        <v>64</v>
      </c>
      <c r="J18" s="6" t="s">
        <v>65</v>
      </c>
      <c r="K18" s="6" t="s">
        <v>66</v>
      </c>
    </row>
    <row r="19" customFormat="false" ht="23.85" hidden="false" customHeight="false" outlineLevel="0" collapsed="false">
      <c r="A19" s="5" t="n">
        <v>14</v>
      </c>
      <c r="B19" s="5"/>
      <c r="C19" s="6" t="s">
        <v>67</v>
      </c>
      <c r="D19" s="7"/>
      <c r="E19" s="7" t="n">
        <v>45344</v>
      </c>
      <c r="F19" s="6" t="s">
        <v>68</v>
      </c>
      <c r="G19" s="8" t="s">
        <v>16</v>
      </c>
      <c r="H19" s="9" t="s">
        <v>69</v>
      </c>
      <c r="I19" s="9" t="s">
        <v>18</v>
      </c>
      <c r="J19" s="6" t="s">
        <v>70</v>
      </c>
      <c r="K19" s="6" t="s">
        <v>71</v>
      </c>
    </row>
    <row r="20" customFormat="false" ht="15" hidden="false" customHeight="false" outlineLevel="0" collapsed="false">
      <c r="A20" s="5" t="n">
        <v>15</v>
      </c>
      <c r="B20" s="5"/>
      <c r="C20" s="6" t="s">
        <v>72</v>
      </c>
      <c r="D20" s="7"/>
      <c r="E20" s="7" t="n">
        <v>38</v>
      </c>
      <c r="F20" s="6" t="s">
        <v>73</v>
      </c>
      <c r="G20" s="8" t="s">
        <v>16</v>
      </c>
      <c r="H20" s="9" t="s">
        <v>69</v>
      </c>
      <c r="I20" s="9" t="s">
        <v>18</v>
      </c>
      <c r="J20" s="6" t="s">
        <v>74</v>
      </c>
      <c r="K20" s="6" t="s">
        <v>71</v>
      </c>
    </row>
    <row r="21" customFormat="false" ht="15" hidden="false" customHeight="false" outlineLevel="0" collapsed="false">
      <c r="A21" s="5" t="n">
        <v>16</v>
      </c>
      <c r="B21" s="5"/>
      <c r="C21" s="6" t="s">
        <v>75</v>
      </c>
      <c r="D21" s="7"/>
      <c r="E21" s="7" t="n">
        <v>91</v>
      </c>
      <c r="F21" s="6" t="s">
        <v>76</v>
      </c>
      <c r="G21" s="8" t="s">
        <v>16</v>
      </c>
      <c r="H21" s="9" t="s">
        <v>69</v>
      </c>
      <c r="I21" s="9" t="s">
        <v>18</v>
      </c>
      <c r="J21" s="6" t="s">
        <v>77</v>
      </c>
      <c r="K21" s="6" t="s">
        <v>71</v>
      </c>
    </row>
    <row r="22" customFormat="false" ht="15" hidden="false" customHeight="false" outlineLevel="0" collapsed="false">
      <c r="A22" s="5" t="n">
        <v>17</v>
      </c>
      <c r="B22" s="5"/>
      <c r="C22" s="6" t="s">
        <v>78</v>
      </c>
      <c r="D22" s="7"/>
      <c r="E22" s="7" t="n">
        <v>28</v>
      </c>
      <c r="F22" s="6" t="s">
        <v>79</v>
      </c>
      <c r="G22" s="8" t="s">
        <v>16</v>
      </c>
      <c r="H22" s="9" t="s">
        <v>69</v>
      </c>
      <c r="I22" s="9" t="s">
        <v>18</v>
      </c>
      <c r="J22" s="6" t="s">
        <v>80</v>
      </c>
      <c r="K22" s="6" t="s">
        <v>71</v>
      </c>
    </row>
    <row r="23" customFormat="false" ht="23.85" hidden="false" customHeight="false" outlineLevel="0" collapsed="false">
      <c r="A23" s="5" t="n">
        <v>18</v>
      </c>
      <c r="B23" s="5"/>
      <c r="C23" s="6" t="s">
        <v>81</v>
      </c>
      <c r="D23" s="7" t="n">
        <v>46101</v>
      </c>
      <c r="E23" s="7"/>
      <c r="F23" s="6" t="s">
        <v>82</v>
      </c>
      <c r="G23" s="10" t="s">
        <v>41</v>
      </c>
      <c r="H23" s="9" t="s">
        <v>83</v>
      </c>
      <c r="I23" s="9" t="s">
        <v>84</v>
      </c>
      <c r="J23" s="6" t="s">
        <v>85</v>
      </c>
      <c r="K23" s="6" t="s">
        <v>86</v>
      </c>
    </row>
    <row r="24" customFormat="false" ht="23.85" hidden="false" customHeight="false" outlineLevel="0" collapsed="false">
      <c r="A24" s="5" t="n">
        <v>19</v>
      </c>
      <c r="B24" s="5"/>
      <c r="C24" s="6" t="s">
        <v>87</v>
      </c>
      <c r="D24" s="7"/>
      <c r="E24" s="7" t="n">
        <v>38</v>
      </c>
      <c r="F24" s="6" t="s">
        <v>88</v>
      </c>
      <c r="G24" s="10" t="s">
        <v>41</v>
      </c>
      <c r="H24" s="9" t="s">
        <v>83</v>
      </c>
      <c r="I24" s="9" t="s">
        <v>89</v>
      </c>
      <c r="J24" s="6" t="s">
        <v>90</v>
      </c>
      <c r="K24" s="6" t="s">
        <v>86</v>
      </c>
    </row>
    <row r="25" customFormat="false" ht="35.2" hidden="false" customHeight="false" outlineLevel="0" collapsed="false">
      <c r="A25" s="5" t="n">
        <v>20</v>
      </c>
      <c r="B25" s="5"/>
      <c r="C25" s="6" t="s">
        <v>91</v>
      </c>
      <c r="D25" s="7"/>
      <c r="E25" s="7"/>
      <c r="F25" s="6" t="s">
        <v>92</v>
      </c>
      <c r="G25" s="8" t="s">
        <v>16</v>
      </c>
      <c r="H25" s="9" t="s">
        <v>53</v>
      </c>
      <c r="I25" s="9" t="s">
        <v>18</v>
      </c>
      <c r="J25" s="6" t="s">
        <v>93</v>
      </c>
      <c r="K25" s="6" t="s">
        <v>55</v>
      </c>
    </row>
    <row r="26" customFormat="false" ht="15" hidden="false" customHeight="false" outlineLevel="0" collapsed="false">
      <c r="A26" s="5" t="n">
        <v>21</v>
      </c>
      <c r="B26" s="5"/>
      <c r="C26" s="6" t="s">
        <v>94</v>
      </c>
      <c r="D26" s="7" t="n">
        <v>99999999</v>
      </c>
      <c r="E26" s="7"/>
      <c r="F26" s="6" t="s">
        <v>15</v>
      </c>
      <c r="G26" s="11" t="s">
        <v>95</v>
      </c>
      <c r="H26" s="9" t="s">
        <v>17</v>
      </c>
      <c r="I26" s="9" t="s">
        <v>18</v>
      </c>
      <c r="J26" s="6" t="s">
        <v>96</v>
      </c>
      <c r="K26" s="6" t="s">
        <v>20</v>
      </c>
    </row>
    <row r="27" customFormat="false" ht="15" hidden="false" customHeight="false" outlineLevel="0" collapsed="false">
      <c r="A27" s="5" t="n">
        <v>22</v>
      </c>
      <c r="B27" s="5"/>
      <c r="C27" s="6" t="s">
        <v>97</v>
      </c>
      <c r="D27" s="7"/>
      <c r="E27" s="7"/>
      <c r="F27" s="6" t="s">
        <v>15</v>
      </c>
      <c r="G27" s="11" t="s">
        <v>95</v>
      </c>
      <c r="H27" s="9" t="s">
        <v>98</v>
      </c>
      <c r="I27" s="9" t="s">
        <v>18</v>
      </c>
      <c r="J27" s="6" t="s">
        <v>99</v>
      </c>
      <c r="K27" s="6" t="s">
        <v>18</v>
      </c>
    </row>
    <row r="28" customFormat="false" ht="23.85" hidden="false" customHeight="false" outlineLevel="0" collapsed="false">
      <c r="A28" s="5" t="n">
        <v>23</v>
      </c>
      <c r="B28" s="5"/>
      <c r="C28" s="6" t="s">
        <v>100</v>
      </c>
      <c r="D28" s="7" t="n">
        <v>46101</v>
      </c>
      <c r="E28" s="7"/>
      <c r="F28" s="6" t="s">
        <v>101</v>
      </c>
      <c r="G28" s="10" t="s">
        <v>41</v>
      </c>
      <c r="H28" s="9" t="s">
        <v>83</v>
      </c>
      <c r="I28" s="9" t="s">
        <v>102</v>
      </c>
      <c r="J28" s="6" t="s">
        <v>103</v>
      </c>
      <c r="K28" s="6" t="s">
        <v>86</v>
      </c>
    </row>
    <row r="30" customFormat="false" ht="15" hidden="false" customHeight="false" outlineLevel="0" collapsed="false">
      <c r="C30" s="12" t="s">
        <v>104</v>
      </c>
    </row>
    <row r="31" customFormat="false" ht="15" hidden="false" customHeight="false" outlineLevel="0" collapsed="false">
      <c r="C31" s="13" t="s">
        <v>105</v>
      </c>
      <c r="D31" s="14" t="n">
        <f aca="false">COUNTIF(B6:B28,"PASS")</f>
        <v>0</v>
      </c>
    </row>
    <row r="32" customFormat="false" ht="15" hidden="false" customHeight="false" outlineLevel="0" collapsed="false">
      <c r="C32" s="13" t="s">
        <v>106</v>
      </c>
      <c r="D32" s="14" t="n">
        <f aca="false">COUNTIF(B6:B28,"FAIL")</f>
        <v>0</v>
      </c>
    </row>
    <row r="33" customFormat="false" ht="15" hidden="false" customHeight="false" outlineLevel="0" collapsed="false">
      <c r="C33" s="13" t="s">
        <v>107</v>
      </c>
      <c r="D33" s="14" t="n">
        <f aca="false">COUNTIF(B6:B28,"SKIP")</f>
        <v>0</v>
      </c>
    </row>
    <row r="34" customFormat="false" ht="15" hidden="false" customHeight="false" outlineLevel="0" collapsed="false">
      <c r="C34" s="13" t="s">
        <v>108</v>
      </c>
      <c r="D34" s="14" t="n">
        <f aca="false">COUNTBLANK(B6:B28)</f>
        <v>23</v>
      </c>
    </row>
    <row r="35" customFormat="false" ht="15" hidden="false" customHeight="false" outlineLevel="0" collapsed="false">
      <c r="C35" s="13" t="s">
        <v>109</v>
      </c>
      <c r="D35" s="14" t="n">
        <f aca="false">COUNTA(A6:A28)</f>
        <v>23</v>
      </c>
    </row>
  </sheetData>
  <autoFilter ref="A5:K28"/>
  <dataValidations count="1">
    <dataValidation allowBlank="true" errorStyle="stop" operator="between" showDropDown="false" showErrorMessage="false" showInputMessage="false" sqref="B6:B28" type="list">
      <formula1>",PASS,FAIL,SKIP"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1562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6"/>
    <col collapsed="false" customWidth="true" hidden="false" outlineLevel="0" max="3" min="3" style="0" width="62"/>
    <col collapsed="false" customWidth="true" hidden="false" outlineLevel="0" max="4" min="4" style="0" width="8"/>
  </cols>
  <sheetData>
    <row r="1" customFormat="false" ht="17.35" hidden="false" customHeight="false" outlineLevel="0" collapsed="false">
      <c r="A1" s="1" t="s">
        <v>110</v>
      </c>
    </row>
    <row r="2" customFormat="false" ht="15" hidden="false" customHeight="false" outlineLevel="0" collapsed="false">
      <c r="A2" s="2" t="s">
        <v>111</v>
      </c>
    </row>
    <row r="4" customFormat="false" ht="15" hidden="false" customHeight="false" outlineLevel="0" collapsed="false">
      <c r="A4" s="15" t="s">
        <v>112</v>
      </c>
      <c r="B4" s="15" t="s">
        <v>113</v>
      </c>
      <c r="C4" s="15" t="s">
        <v>114</v>
      </c>
      <c r="D4" s="15" t="s">
        <v>115</v>
      </c>
    </row>
    <row r="5" customFormat="false" ht="15" hidden="false" customHeight="false" outlineLevel="0" collapsed="false">
      <c r="A5" s="16" t="s">
        <v>116</v>
      </c>
      <c r="B5" s="16" t="s">
        <v>17</v>
      </c>
      <c r="C5" s="16" t="s">
        <v>117</v>
      </c>
      <c r="D5" s="5" t="n">
        <v>6</v>
      </c>
    </row>
    <row r="6" customFormat="false" ht="15" hidden="false" customHeight="false" outlineLevel="0" collapsed="false">
      <c r="A6" s="16" t="s">
        <v>116</v>
      </c>
      <c r="B6" s="16" t="s">
        <v>53</v>
      </c>
      <c r="C6" s="16" t="s">
        <v>118</v>
      </c>
      <c r="D6" s="5" t="n">
        <v>5</v>
      </c>
    </row>
    <row r="7" customFormat="false" ht="15" hidden="false" customHeight="false" outlineLevel="0" collapsed="false">
      <c r="A7" s="16" t="s">
        <v>116</v>
      </c>
      <c r="B7" s="16" t="s">
        <v>69</v>
      </c>
      <c r="C7" s="16" t="s">
        <v>119</v>
      </c>
      <c r="D7" s="5" t="n">
        <v>4</v>
      </c>
    </row>
    <row r="8" customFormat="false" ht="15" hidden="false" customHeight="false" outlineLevel="0" collapsed="false">
      <c r="A8" s="16" t="s">
        <v>116</v>
      </c>
      <c r="B8" s="16" t="s">
        <v>37</v>
      </c>
      <c r="C8" s="16" t="s">
        <v>120</v>
      </c>
      <c r="D8" s="5" t="n">
        <v>4</v>
      </c>
    </row>
    <row r="9" customFormat="false" ht="15" hidden="false" customHeight="false" outlineLevel="0" collapsed="false">
      <c r="A9" s="16" t="s">
        <v>116</v>
      </c>
      <c r="B9" s="16" t="s">
        <v>83</v>
      </c>
      <c r="C9" s="16" t="s">
        <v>121</v>
      </c>
      <c r="D9" s="5" t="n">
        <v>3</v>
      </c>
    </row>
    <row r="10" customFormat="false" ht="15" hidden="false" customHeight="false" outlineLevel="0" collapsed="false">
      <c r="A10" s="16" t="s">
        <v>116</v>
      </c>
      <c r="B10" s="16" t="s">
        <v>98</v>
      </c>
      <c r="C10" s="16" t="s">
        <v>122</v>
      </c>
      <c r="D10" s="5" t="n">
        <v>1</v>
      </c>
    </row>
    <row r="11" customFormat="false" ht="15" hidden="false" customHeight="false" outlineLevel="0" collapsed="false">
      <c r="A11" s="16" t="s">
        <v>123</v>
      </c>
      <c r="B11" s="16" t="s">
        <v>16</v>
      </c>
      <c r="C11" s="16" t="s">
        <v>124</v>
      </c>
      <c r="D11" s="5" t="n">
        <v>15</v>
      </c>
    </row>
    <row r="12" customFormat="false" ht="15" hidden="false" customHeight="false" outlineLevel="0" collapsed="false">
      <c r="A12" s="16" t="s">
        <v>123</v>
      </c>
      <c r="B12" s="16" t="s">
        <v>41</v>
      </c>
      <c r="C12" s="16" t="s">
        <v>125</v>
      </c>
      <c r="D12" s="5" t="n">
        <v>6</v>
      </c>
    </row>
    <row r="13" customFormat="false" ht="15" hidden="false" customHeight="false" outlineLevel="0" collapsed="false">
      <c r="A13" s="16" t="s">
        <v>123</v>
      </c>
      <c r="B13" s="16" t="s">
        <v>95</v>
      </c>
      <c r="C13" s="16" t="s">
        <v>126</v>
      </c>
      <c r="D13" s="5" t="n">
        <v>2</v>
      </c>
    </row>
    <row r="14" customFormat="false" ht="15" hidden="false" customHeight="false" outlineLevel="0" collapsed="false">
      <c r="A14" s="16" t="s">
        <v>11</v>
      </c>
      <c r="B14" s="16" t="s">
        <v>84</v>
      </c>
      <c r="C14" s="16" t="s">
        <v>127</v>
      </c>
      <c r="D14" s="5" t="n">
        <v>1</v>
      </c>
    </row>
    <row r="15" customFormat="false" ht="15" hidden="false" customHeight="false" outlineLevel="0" collapsed="false">
      <c r="A15" s="16" t="s">
        <v>11</v>
      </c>
      <c r="B15" s="16" t="s">
        <v>89</v>
      </c>
      <c r="C15" s="16" t="s">
        <v>128</v>
      </c>
      <c r="D15" s="5" t="n">
        <v>1</v>
      </c>
    </row>
    <row r="16" customFormat="false" ht="15" hidden="false" customHeight="false" outlineLevel="0" collapsed="false">
      <c r="A16" s="16" t="s">
        <v>11</v>
      </c>
      <c r="B16" s="16" t="s">
        <v>64</v>
      </c>
      <c r="C16" s="16" t="s">
        <v>129</v>
      </c>
      <c r="D16" s="5" t="n">
        <v>1</v>
      </c>
    </row>
    <row r="17" customFormat="false" ht="15" hidden="false" customHeight="false" outlineLevel="0" collapsed="false">
      <c r="A17" s="16" t="s">
        <v>11</v>
      </c>
      <c r="B17" s="16" t="s">
        <v>102</v>
      </c>
      <c r="C17" s="16" t="s">
        <v>130</v>
      </c>
      <c r="D17" s="5" t="n">
        <v>1</v>
      </c>
    </row>
    <row r="18" customFormat="false" ht="15" hidden="false" customHeight="false" outlineLevel="0" collapsed="false">
      <c r="A18" s="16" t="s">
        <v>131</v>
      </c>
      <c r="B18" s="16" t="s">
        <v>20</v>
      </c>
      <c r="C18" s="16" t="s">
        <v>132</v>
      </c>
      <c r="D18" s="5" t="n">
        <v>9</v>
      </c>
    </row>
    <row r="19" customFormat="false" ht="15" hidden="false" customHeight="false" outlineLevel="0" collapsed="false">
      <c r="A19" s="16" t="s">
        <v>131</v>
      </c>
      <c r="B19" s="16" t="s">
        <v>133</v>
      </c>
      <c r="C19" s="16" t="s">
        <v>134</v>
      </c>
      <c r="D19" s="5" t="n">
        <v>1</v>
      </c>
    </row>
    <row r="20" customFormat="false" ht="15" hidden="false" customHeight="false" outlineLevel="0" collapsed="false">
      <c r="A20" s="16" t="s">
        <v>131</v>
      </c>
      <c r="B20" s="16" t="s">
        <v>28</v>
      </c>
      <c r="C20" s="16" t="s">
        <v>135</v>
      </c>
      <c r="D20" s="5" t="n">
        <v>1</v>
      </c>
    </row>
    <row r="21" customFormat="false" ht="15" hidden="false" customHeight="false" outlineLevel="0" collapsed="false">
      <c r="A21" s="16" t="s">
        <v>131</v>
      </c>
      <c r="B21" s="16" t="s">
        <v>55</v>
      </c>
      <c r="C21" s="16" t="s">
        <v>136</v>
      </c>
      <c r="D21" s="5" t="n">
        <v>9</v>
      </c>
    </row>
    <row r="22" customFormat="false" ht="15" hidden="false" customHeight="false" outlineLevel="0" collapsed="false">
      <c r="A22" s="16" t="s">
        <v>131</v>
      </c>
      <c r="B22" s="16" t="s">
        <v>71</v>
      </c>
      <c r="C22" s="16" t="s">
        <v>119</v>
      </c>
      <c r="D22" s="5" t="n">
        <v>4</v>
      </c>
    </row>
    <row r="23" customFormat="false" ht="15" hidden="false" customHeight="false" outlineLevel="0" collapsed="false">
      <c r="A23" s="16" t="s">
        <v>131</v>
      </c>
      <c r="B23" s="16" t="s">
        <v>137</v>
      </c>
      <c r="C23" s="16" t="s">
        <v>138</v>
      </c>
      <c r="D23" s="5" t="n">
        <v>1</v>
      </c>
    </row>
    <row r="24" customFormat="false" ht="15" hidden="false" customHeight="false" outlineLevel="0" collapsed="false">
      <c r="A24" s="16" t="s">
        <v>131</v>
      </c>
      <c r="B24" s="16" t="s">
        <v>139</v>
      </c>
      <c r="C24" s="16" t="s">
        <v>140</v>
      </c>
      <c r="D24" s="5" t="n">
        <v>5</v>
      </c>
    </row>
    <row r="25" customFormat="false" ht="15" hidden="false" customHeight="false" outlineLevel="0" collapsed="false">
      <c r="A25" s="16" t="s">
        <v>131</v>
      </c>
      <c r="B25" s="16" t="s">
        <v>141</v>
      </c>
      <c r="C25" s="16" t="s">
        <v>142</v>
      </c>
      <c r="D25" s="5" t="n">
        <v>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15625" defaultRowHeight="15" customHeight="false" zeroHeight="false" outlineLevelRow="0" outlineLevelCol="0"/>
  <cols>
    <col collapsed="false" customWidth="true" hidden="false" outlineLevel="0" max="1" min="1" style="0" width="108"/>
  </cols>
  <sheetData>
    <row r="1" customFormat="false" ht="17.35" hidden="false" customHeight="false" outlineLevel="0" collapsed="false">
      <c r="A1" s="1" t="s">
        <v>143</v>
      </c>
    </row>
    <row r="3" customFormat="false" ht="15" hidden="false" customHeight="false" outlineLevel="0" collapsed="false">
      <c r="A3" s="12" t="s">
        <v>144</v>
      </c>
    </row>
    <row r="4" customFormat="false" ht="15" hidden="false" customHeight="false" outlineLevel="0" collapsed="false">
      <c r="A4" s="17" t="s">
        <v>145</v>
      </c>
    </row>
    <row r="5" customFormat="false" ht="15" hidden="false" customHeight="false" outlineLevel="0" collapsed="false">
      <c r="A5" s="13"/>
    </row>
    <row r="6" customFormat="false" ht="15" hidden="false" customHeight="false" outlineLevel="0" collapsed="false">
      <c r="A6" s="12" t="s">
        <v>146</v>
      </c>
    </row>
    <row r="7" customFormat="false" ht="15" hidden="false" customHeight="false" outlineLevel="0" collapsed="false">
      <c r="A7" s="17" t="s">
        <v>147</v>
      </c>
    </row>
    <row r="8" customFormat="false" ht="15" hidden="false" customHeight="false" outlineLevel="0" collapsed="false">
      <c r="A8" s="13"/>
    </row>
    <row r="9" customFormat="false" ht="15" hidden="false" customHeight="false" outlineLevel="0" collapsed="false">
      <c r="A9" s="13" t="s">
        <v>148</v>
      </c>
    </row>
    <row r="10" customFormat="false" ht="15" hidden="false" customHeight="false" outlineLevel="0" collapsed="false">
      <c r="A10" s="13" t="s">
        <v>149</v>
      </c>
    </row>
    <row r="11" customFormat="false" ht="15" hidden="false" customHeight="false" outlineLevel="0" collapsed="false">
      <c r="A11" s="13"/>
    </row>
    <row r="12" customFormat="false" ht="15" hidden="false" customHeight="false" outlineLevel="0" collapsed="false">
      <c r="A12" s="12" t="s">
        <v>150</v>
      </c>
    </row>
    <row r="13" customFormat="false" ht="15" hidden="false" customHeight="false" outlineLevel="0" collapsed="false">
      <c r="A13" s="17" t="s">
        <v>151</v>
      </c>
    </row>
    <row r="14" customFormat="false" ht="15" hidden="false" customHeight="false" outlineLevel="0" collapsed="false">
      <c r="A14" s="13"/>
    </row>
    <row r="15" customFormat="false" ht="15" hidden="false" customHeight="false" outlineLevel="0" collapsed="false">
      <c r="A15" s="12" t="s">
        <v>152</v>
      </c>
    </row>
    <row r="16" customFormat="false" ht="15" hidden="false" customHeight="false" outlineLevel="0" collapsed="false">
      <c r="A16" s="17" t="s">
        <v>153</v>
      </c>
    </row>
    <row r="17" customFormat="false" ht="15" hidden="false" customHeight="false" outlineLevel="0" collapsed="false">
      <c r="A17" s="13"/>
    </row>
    <row r="18" customFormat="false" ht="15" hidden="false" customHeight="false" outlineLevel="0" collapsed="false">
      <c r="A18" s="12" t="s">
        <v>154</v>
      </c>
    </row>
    <row r="19" customFormat="false" ht="15" hidden="false" customHeight="false" outlineLevel="0" collapsed="false">
      <c r="A19" s="13" t="s">
        <v>155</v>
      </c>
    </row>
    <row r="20" customFormat="false" ht="15" hidden="false" customHeight="false" outlineLevel="0" collapsed="false">
      <c r="A20" s="13" t="s">
        <v>156</v>
      </c>
    </row>
    <row r="21" customFormat="false" ht="15" hidden="false" customHeight="false" outlineLevel="0" collapsed="false">
      <c r="A21" s="13" t="s">
        <v>157</v>
      </c>
    </row>
    <row r="22" customFormat="false" ht="15" hidden="false" customHeight="false" outlineLevel="0" collapsed="false">
      <c r="A22" s="13" t="s">
        <v>158</v>
      </c>
    </row>
    <row r="23" customFormat="false" ht="15" hidden="false" customHeight="false" outlineLevel="0" collapsed="false">
      <c r="A23" s="13" t="s">
        <v>159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2026-09-04T13:16:51Z</dcterms:created>
  <dc:creator>openpyxl</dc:creator>
  <dc:description/>
  <dc:language>en-US</dc:language>
  <cp:lastModifiedBy/>
  <dcterms:modified xsi:type="dcterms:W3CDTF">2026-09-04T13:16:51Z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