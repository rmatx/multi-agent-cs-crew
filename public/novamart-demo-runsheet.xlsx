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heet" sheetId="1" state="visible" r:id="rId1"/>
    <sheet name="Coverage" sheetId="2" state="visible" r:id="rId2"/>
    <sheet name="Setup" sheetId="3" state="visible" r:id="rId3"/>
  </sheets>
  <definedNames>
    <definedName name="_xlnm._FilterDatabase" localSheetId="0" hidden="1">'Run sheet'!$A$5:$K$28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color rgb="005B627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7A56"/>
      <sz val="10"/>
    </font>
    <font>
      <name val="Arial"/>
      <b val="1"/>
      <color rgb="006D4BC4"/>
      <sz val="10"/>
    </font>
    <font>
      <name val="Arial"/>
      <b val="1"/>
      <color rgb="00A85A12"/>
      <sz val="10"/>
    </font>
    <font>
      <name val="Arial"/>
      <b val="1"/>
      <sz val="10"/>
    </font>
    <font>
      <name val="Courier New"/>
      <color rgb="001F4FD8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6F6F0"/>
      </patternFill>
    </fill>
    <fill>
      <patternFill patternType="solid">
        <fgColor rgb="00F1ECFD"/>
      </patternFill>
    </fill>
    <fill>
      <patternFill patternType="solid">
        <fgColor rgb="00FDF1E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top"/>
    </xf>
    <xf numFmtId="0" fontId="3" fillId="2" borderId="0" pivotButton="0" quotePrefix="0" xfId="0"/>
    <xf numFmtId="0" fontId="4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10" customWidth="1" min="4" max="4"/>
    <col width="12" customWidth="1" min="5" max="5"/>
    <col width="40" customWidth="1" min="6" max="6"/>
    <col width="15" customWidth="1" min="7" max="7"/>
    <col width="19" customWidth="1" min="8" max="8"/>
    <col width="20" customWidth="1" min="9" max="9"/>
    <col width="52" customWidth="1" min="10" max="10"/>
    <col width="34" customWidth="1" min="11" max="11"/>
  </cols>
  <sheetData>
    <row r="1">
      <c r="A1" s="1" t="inlineStr">
        <is>
          <t>NovaMart — live demo run sheet</t>
        </is>
      </c>
    </row>
    <row r="2">
      <c r="A2" s="2" t="inlineStr">
        <is>
          <t>23 scenarios · generated 2026-09-10 from the live database · pinned AS_OF_DATE=2026-09-01 (date shift 608 days)</t>
        </is>
      </c>
    </row>
    <row r="3">
      <c r="A3" s="2" t="inlineStr">
        <is>
          <t>Ids are real rows. If you change AS_OF_DATE, regenerate with `npm run demo:build` or the day counts below stop being true.</t>
        </is>
      </c>
    </row>
    <row r="5" ht="28" customHeight="1">
      <c r="A5" s="3" t="inlineStr">
        <is>
          <t>#</t>
        </is>
      </c>
      <c r="B5" s="3" t="inlineStr">
        <is>
          <t>Run</t>
        </is>
      </c>
      <c r="C5" s="4" t="inlineStr">
        <is>
          <t>Scenario</t>
        </is>
      </c>
      <c r="D5" s="4" t="inlineStr">
        <is>
          <t>Order id</t>
        </is>
      </c>
      <c r="E5" s="4" t="inlineStr">
        <is>
          <t>Customer id</t>
        </is>
      </c>
      <c r="F5" s="4" t="inlineStr">
        <is>
          <t>What to type</t>
        </is>
      </c>
      <c r="G5" s="4" t="inlineStr">
        <is>
          <t>Expected status</t>
        </is>
      </c>
      <c r="H5" s="4" t="inlineStr">
        <is>
          <t>Expected agent</t>
        </is>
      </c>
      <c r="I5" s="4" t="inlineStr">
        <is>
          <t>Reason code</t>
        </is>
      </c>
      <c r="J5" s="4" t="inlineStr">
        <is>
          <t>What it proves</t>
        </is>
      </c>
      <c r="K5" s="4" t="inlineStr">
        <is>
          <t>Tools exercised</t>
        </is>
      </c>
    </row>
    <row r="6">
      <c r="A6" s="5" t="n">
        <v>1</v>
      </c>
      <c r="B6" s="5" t="n"/>
      <c r="C6" s="6" t="inlineStr">
        <is>
          <t>Where is my order</t>
        </is>
      </c>
      <c r="D6" s="7" t="n">
        <v>46101</v>
      </c>
      <c r="E6" s="7" t="n"/>
      <c r="F6" s="6" t="inlineStr">
        <is>
          <t>Where is my order?</t>
        </is>
      </c>
      <c r="G6" s="8" t="inlineStr">
        <is>
          <t>resolved</t>
        </is>
      </c>
      <c r="H6" s="9" t="inlineStr">
        <is>
          <t>order-specialist</t>
        </is>
      </c>
      <c r="I6" s="9" t="inlineStr">
        <is>
          <t>—</t>
        </is>
      </c>
      <c r="J6" s="6" t="inlineStr">
        <is>
          <t>Placed 2026-09-01 (today). Says plainly that no tracking detail exists.</t>
        </is>
      </c>
      <c r="K6" s="6" t="inlineStr">
        <is>
          <t>get_order</t>
        </is>
      </c>
    </row>
    <row r="7">
      <c r="A7" s="5" t="n">
        <v>2</v>
      </c>
      <c r="B7" s="5" t="n"/>
      <c r="C7" s="6" t="inlineStr">
        <is>
          <t>What did I order</t>
        </is>
      </c>
      <c r="D7" s="7" t="n">
        <v>45923</v>
      </c>
      <c r="E7" s="7" t="n"/>
      <c r="F7" s="6" t="inlineStr">
        <is>
          <t>What items are in this order?</t>
        </is>
      </c>
      <c r="G7" s="8" t="inlineStr">
        <is>
          <t>resolved</t>
        </is>
      </c>
      <c r="H7" s="9" t="inlineStr">
        <is>
          <t>order-specialist</t>
        </is>
      </c>
      <c r="I7" s="9" t="inlineStr">
        <is>
          <t>—</t>
        </is>
      </c>
      <c r="J7" s="6" t="inlineStr">
        <is>
          <t>4 line items, totals that add up.</t>
        </is>
      </c>
      <c r="K7" s="6" t="inlineStr">
        <is>
          <t>get_order, get_order_items</t>
        </is>
      </c>
    </row>
    <row r="8">
      <c r="A8" s="5" t="n">
        <v>3</v>
      </c>
      <c r="B8" s="5" t="n"/>
      <c r="C8" s="6" t="inlineStr">
        <is>
          <t>Recent orders, no order id</t>
        </is>
      </c>
      <c r="D8" s="7" t="n"/>
      <c r="E8" s="7" t="n">
        <v>9970</v>
      </c>
      <c r="F8" s="6" t="inlineStr">
        <is>
          <t>What have I ordered recently?</t>
        </is>
      </c>
      <c r="G8" s="8" t="inlineStr">
        <is>
          <t>resolved</t>
        </is>
      </c>
      <c r="H8" s="9" t="inlineStr">
        <is>
          <t>order-specialist</t>
        </is>
      </c>
      <c r="I8" s="9" t="inlineStr">
        <is>
          <t>—</t>
        </is>
      </c>
      <c r="J8" s="6" t="inlineStr">
        <is>
          <t>8 orders, newest first. No order id supplied — this is the list path.</t>
        </is>
      </c>
      <c r="K8" s="6" t="inlineStr">
        <is>
          <t>list_orders_for_user</t>
        </is>
      </c>
    </row>
    <row r="9">
      <c r="A9" s="5" t="n">
        <v>4</v>
      </c>
      <c r="B9" s="5" t="n"/>
      <c r="C9" s="6" t="inlineStr">
        <is>
          <t>Why was it cancelled</t>
        </is>
      </c>
      <c r="D9" s="7" t="n">
        <v>46105</v>
      </c>
      <c r="E9" s="7" t="n"/>
      <c r="F9" s="6" t="inlineStr">
        <is>
          <t>Why was my order cancelled?</t>
        </is>
      </c>
      <c r="G9" s="8" t="inlineStr">
        <is>
          <t>resolved</t>
        </is>
      </c>
      <c r="H9" s="9" t="inlineStr">
        <is>
          <t>order-specialist</t>
        </is>
      </c>
      <c r="I9" s="9" t="inlineStr">
        <is>
          <t>—</t>
        </is>
      </c>
      <c r="J9" s="6" t="inlineStr">
        <is>
          <t>Reports the cancelled status without inventing a reason the data does not hold.</t>
        </is>
      </c>
      <c r="K9" s="6" t="inlineStr">
        <is>
          <t>get_order</t>
        </is>
      </c>
    </row>
    <row r="10">
      <c r="A10" s="5" t="n">
        <v>5</v>
      </c>
      <c r="B10" s="5" t="n"/>
      <c r="C10" s="6" t="inlineStr">
        <is>
          <t>What did this cost</t>
        </is>
      </c>
      <c r="D10" s="7" t="n">
        <v>43004</v>
      </c>
      <c r="E10" s="7" t="n"/>
      <c r="F10" s="6" t="inlineStr">
        <is>
          <t>How much did this order come to?</t>
        </is>
      </c>
      <c r="G10" s="8" t="inlineStr">
        <is>
          <t>resolved</t>
        </is>
      </c>
      <c r="H10" s="9" t="inlineStr">
        <is>
          <t>order-specialist</t>
        </is>
      </c>
      <c r="I10" s="9" t="inlineStr">
        <is>
          <t>—</t>
        </is>
      </c>
      <c r="J10" s="6" t="inlineStr">
        <is>
          <t>Total straight from the row.</t>
        </is>
      </c>
      <c r="K10" s="6" t="inlineStr">
        <is>
          <t>get_order</t>
        </is>
      </c>
    </row>
    <row r="11">
      <c r="A11" s="5" t="n">
        <v>6</v>
      </c>
      <c r="B11" s="5" t="n"/>
      <c r="C11" s="6" t="inlineStr">
        <is>
          <t>Return, inside the window</t>
        </is>
      </c>
      <c r="D11" s="7" t="n">
        <v>43004</v>
      </c>
      <c r="E11" s="7" t="n"/>
      <c r="F11" s="6" t="inlineStr">
        <is>
          <t>Can I still return this order?</t>
        </is>
      </c>
      <c r="G11" s="8" t="inlineStr">
        <is>
          <t>resolved</t>
        </is>
      </c>
      <c r="H11" s="9" t="inlineStr">
        <is>
          <t>returns-advisor</t>
        </is>
      </c>
      <c r="I11" s="9" t="inlineStr">
        <is>
          <t>—</t>
        </is>
      </c>
      <c r="J11" s="6" t="inlineStr">
        <is>
          <t>12 days ago — inside 14. Order AND policy cited in ONE hop (SAD chain exception).</t>
        </is>
      </c>
      <c r="K11" s="6" t="inlineStr">
        <is>
          <t>get_order, search_policy</t>
        </is>
      </c>
    </row>
    <row r="12">
      <c r="A12" s="5" t="n">
        <v>7</v>
      </c>
      <c r="B12" s="5" t="n"/>
      <c r="C12" s="6" t="inlineStr">
        <is>
          <t>Return, just outside</t>
        </is>
      </c>
      <c r="D12" s="7" t="n">
        <v>42319</v>
      </c>
      <c r="E12" s="7" t="n"/>
      <c r="F12" s="6" t="inlineStr">
        <is>
          <t>Can I still return this order?</t>
        </is>
      </c>
      <c r="G12" s="10" t="inlineStr">
        <is>
          <t>escalated</t>
        </is>
      </c>
      <c r="H12" s="9" t="inlineStr">
        <is>
          <t>returns-advisor</t>
        </is>
      </c>
      <c r="I12" s="9" t="inlineStr">
        <is>
          <t>—</t>
        </is>
      </c>
      <c r="J12" s="6" t="inlineStr">
        <is>
          <t>15 days ago — the boundary. 3 days from the case above, opposite answer.</t>
        </is>
      </c>
      <c r="K12" s="6" t="inlineStr">
        <is>
          <t>get_order, search_policy, create_ticket_stub</t>
        </is>
      </c>
    </row>
    <row r="13">
      <c r="A13" s="5" t="n">
        <v>8</v>
      </c>
      <c r="B13" s="5" t="n"/>
      <c r="C13" s="6" t="inlineStr">
        <is>
          <t>Return, a year old</t>
        </is>
      </c>
      <c r="D13" s="7" t="n">
        <v>1</v>
      </c>
      <c r="E13" s="7" t="n"/>
      <c r="F13" s="6" t="inlineStr">
        <is>
          <t>I want to return this, is it too late?</t>
        </is>
      </c>
      <c r="G13" s="10" t="inlineStr">
        <is>
          <t>escalated</t>
        </is>
      </c>
      <c r="H13" s="9" t="inlineStr">
        <is>
          <t>returns-advisor</t>
        </is>
      </c>
      <c r="I13" s="9" t="inlineStr">
        <is>
          <t>—</t>
        </is>
      </c>
      <c r="J13" s="6" t="inlineStr">
        <is>
          <t>365 days ago. The unambiguous no.</t>
        </is>
      </c>
      <c r="K13" s="6" t="inlineStr">
        <is>
          <t>get_order, search_policy</t>
        </is>
      </c>
    </row>
    <row r="14">
      <c r="A14" s="5" t="n">
        <v>9</v>
      </c>
      <c r="B14" s="5" t="n"/>
      <c r="C14" s="6" t="inlineStr">
        <is>
          <t>How long until my return is processed</t>
        </is>
      </c>
      <c r="D14" s="7" t="n">
        <v>45538</v>
      </c>
      <c r="E14" s="7" t="n"/>
      <c r="F14" s="6" t="inlineStr">
        <is>
          <t>I sent this back. How long until it is processed?</t>
        </is>
      </c>
      <c r="G14" s="8" t="inlineStr">
        <is>
          <t>resolved</t>
        </is>
      </c>
      <c r="H14" s="9" t="inlineStr">
        <is>
          <t>returns-advisor</t>
        </is>
      </c>
      <c r="I14" s="9" t="inlineStr">
        <is>
          <t>—</t>
        </is>
      </c>
      <c r="J14" s="6" t="inlineStr">
        <is>
          <t>3-5 business days from policy PLUS real US holidays from the live Nager.Date API.</t>
        </is>
      </c>
      <c r="K14" s="6" t="inlineStr">
        <is>
          <t>get_order, search_policy, get_processing_calendar</t>
        </is>
      </c>
    </row>
    <row r="15">
      <c r="A15" s="5" t="n">
        <v>10</v>
      </c>
      <c r="B15" s="5" t="n"/>
      <c r="C15" s="6" t="inlineStr">
        <is>
          <t>Shipping policy question</t>
        </is>
      </c>
      <c r="D15" s="7" t="n"/>
      <c r="E15" s="7" t="n"/>
      <c r="F15" s="6" t="inlineStr">
        <is>
          <t>How long does delivery usually take?</t>
        </is>
      </c>
      <c r="G15" s="8" t="inlineStr">
        <is>
          <t>resolved</t>
        </is>
      </c>
      <c r="H15" s="9" t="inlineStr">
        <is>
          <t>faq-policy</t>
        </is>
      </c>
      <c r="I15" s="9" t="inlineStr">
        <is>
          <t>—</t>
        </is>
      </c>
      <c r="J15" s="6" t="inlineStr">
        <is>
          <t>Answered from the corpus, with a citation.</t>
        </is>
      </c>
      <c r="K15" s="6" t="inlineStr">
        <is>
          <t>search_policy</t>
        </is>
      </c>
    </row>
    <row r="16">
      <c r="A16" s="5" t="n">
        <v>11</v>
      </c>
      <c r="B16" s="5" t="n"/>
      <c r="C16" s="6" t="inlineStr">
        <is>
          <t>What cannot be returned</t>
        </is>
      </c>
      <c r="D16" s="7" t="n"/>
      <c r="E16" s="7" t="n"/>
      <c r="F16" s="6" t="inlineStr">
        <is>
          <t>Which items can't be returned?</t>
        </is>
      </c>
      <c r="G16" s="8" t="inlineStr">
        <is>
          <t>resolved</t>
        </is>
      </c>
      <c r="H16" s="9" t="inlineStr">
        <is>
          <t>faq-policy</t>
        </is>
      </c>
      <c r="I16" s="9" t="inlineStr">
        <is>
          <t>—</t>
        </is>
      </c>
      <c r="J16" s="6" t="inlineStr">
        <is>
          <t>Corpus section quoted, not paraphrased from memory.</t>
        </is>
      </c>
      <c r="K16" s="6" t="inlineStr">
        <is>
          <t>search_policy</t>
        </is>
      </c>
    </row>
    <row r="17">
      <c r="A17" s="5" t="n">
        <v>12</v>
      </c>
      <c r="B17" s="5" t="n"/>
      <c r="C17" s="6" t="inlineStr">
        <is>
          <t>What does Plus include</t>
        </is>
      </c>
      <c r="D17" s="7" t="n"/>
      <c r="E17" s="7" t="n"/>
      <c r="F17" s="6" t="inlineStr">
        <is>
          <t>What do I get with a Plus membership?</t>
        </is>
      </c>
      <c r="G17" s="8" t="inlineStr">
        <is>
          <t>resolved</t>
        </is>
      </c>
      <c r="H17" s="9" t="inlineStr">
        <is>
          <t>faq-policy</t>
        </is>
      </c>
      <c r="I17" s="9" t="inlineStr">
        <is>
          <t>—</t>
        </is>
      </c>
      <c r="J17" s="6" t="inlineStr">
        <is>
          <t>Plus corpus, no membership read needed.</t>
        </is>
      </c>
      <c r="K17" s="6" t="inlineStr">
        <is>
          <t>search_policy</t>
        </is>
      </c>
    </row>
    <row r="18">
      <c r="A18" s="5" t="n">
        <v>13</v>
      </c>
      <c r="B18" s="5" t="n"/>
      <c r="C18" s="6" t="inlineStr">
        <is>
          <t>Question the corpus cannot answer</t>
        </is>
      </c>
      <c r="D18" s="7" t="n"/>
      <c r="E18" s="7" t="n"/>
      <c r="F18" s="6" t="inlineStr">
        <is>
          <t>What is the capital of France?</t>
        </is>
      </c>
      <c r="G18" s="10" t="inlineStr">
        <is>
          <t>escalated</t>
        </is>
      </c>
      <c r="H18" s="9" t="inlineStr">
        <is>
          <t>faq-policy</t>
        </is>
      </c>
      <c r="I18" s="9" t="inlineStr">
        <is>
          <t>ungrounded</t>
        </is>
      </c>
      <c r="J18" s="6" t="inlineStr">
        <is>
          <t>THE grounding demo. It knows the answer and refuses to give it, because it is not in the corpus.</t>
        </is>
      </c>
      <c r="K18" s="6" t="inlineStr">
        <is>
          <t>search_policy, create_ticket_stub, format_handoff_summary</t>
        </is>
      </c>
    </row>
    <row r="19">
      <c r="A19" s="5" t="n">
        <v>14</v>
      </c>
      <c r="B19" s="5" t="n"/>
      <c r="C19" s="6" t="inlineStr">
        <is>
          <t>Trial with days left</t>
        </is>
      </c>
      <c r="D19" s="7" t="n"/>
      <c r="E19" s="7" t="n">
        <v>45344</v>
      </c>
      <c r="F19" s="6" t="inlineStr">
        <is>
          <t>Is my Plus trial still active?</t>
        </is>
      </c>
      <c r="G19" s="8" t="inlineStr">
        <is>
          <t>resolved</t>
        </is>
      </c>
      <c r="H19" s="9" t="inlineStr">
        <is>
          <t>plus-specialist</t>
        </is>
      </c>
      <c r="I19" s="9" t="inlineStr">
        <is>
          <t>—</t>
        </is>
      </c>
      <c r="J19" s="6" t="inlineStr">
        <is>
          <t>The DemoOverlay persona (ADR-14): active trial, 5 days left, and it moves with AS_OF_DATE.</t>
        </is>
      </c>
      <c r="K19" s="6" t="inlineStr">
        <is>
          <t>get_membership</t>
        </is>
      </c>
    </row>
    <row r="20">
      <c r="A20" s="5" t="n">
        <v>15</v>
      </c>
      <c r="B20" s="5" t="n"/>
      <c r="C20" s="6" t="inlineStr">
        <is>
          <t>Which plan am I on</t>
        </is>
      </c>
      <c r="D20" s="7" t="n"/>
      <c r="E20" s="7" t="n">
        <v>38</v>
      </c>
      <c r="F20" s="6" t="inlineStr">
        <is>
          <t>What Plus plan am I on?</t>
        </is>
      </c>
      <c r="G20" s="8" t="inlineStr">
        <is>
          <t>resolved</t>
        </is>
      </c>
      <c r="H20" s="9" t="inlineStr">
        <is>
          <t>plus-specialist</t>
        </is>
      </c>
      <c r="I20" s="9" t="inlineStr">
        <is>
          <t>—</t>
        </is>
      </c>
      <c r="J20" s="6" t="inlineStr">
        <is>
          <t>plus_monthly, active — a real membership row.</t>
        </is>
      </c>
      <c r="K20" s="6" t="inlineStr">
        <is>
          <t>get_membership</t>
        </is>
      </c>
    </row>
    <row r="21">
      <c r="A21" s="5" t="n">
        <v>16</v>
      </c>
      <c r="B21" s="5" t="n"/>
      <c r="C21" s="6" t="inlineStr">
        <is>
          <t>Annual plan</t>
        </is>
      </c>
      <c r="D21" s="7" t="n"/>
      <c r="E21" s="7" t="n">
        <v>91</v>
      </c>
      <c r="F21" s="6" t="inlineStr">
        <is>
          <t>When does my Plus renew?</t>
        </is>
      </c>
      <c r="G21" s="8" t="inlineStr">
        <is>
          <t>resolved</t>
        </is>
      </c>
      <c r="H21" s="9" t="inlineStr">
        <is>
          <t>plus-specialist</t>
        </is>
      </c>
      <c r="I21" s="9" t="inlineStr">
        <is>
          <t>—</t>
        </is>
      </c>
      <c r="J21" s="6" t="inlineStr">
        <is>
          <t>plus_annual — the other billing shape.</t>
        </is>
      </c>
      <c r="K21" s="6" t="inlineStr">
        <is>
          <t>get_membership</t>
        </is>
      </c>
    </row>
    <row r="22">
      <c r="A22" s="5" t="n">
        <v>17</v>
      </c>
      <c r="B22" s="5" t="n"/>
      <c r="C22" s="6" t="inlineStr">
        <is>
          <t>Expired membership</t>
        </is>
      </c>
      <c r="D22" s="7" t="n"/>
      <c r="E22" s="7" t="n">
        <v>28</v>
      </c>
      <c r="F22" s="6" t="inlineStr">
        <is>
          <t>Is my Plus still active?</t>
        </is>
      </c>
      <c r="G22" s="8" t="inlineStr">
        <is>
          <t>resolved</t>
        </is>
      </c>
      <c r="H22" s="9" t="inlineStr">
        <is>
          <t>plus-specialist</t>
        </is>
      </c>
      <c r="I22" s="9" t="inlineStr">
        <is>
          <t>—</t>
        </is>
      </c>
      <c r="J22" s="6" t="inlineStr">
        <is>
          <t>An honest no. Expired is reported, not softened.</t>
        </is>
      </c>
      <c r="K22" s="6" t="inlineStr">
        <is>
          <t>get_membership</t>
        </is>
      </c>
    </row>
    <row r="23">
      <c r="A23" s="5" t="n">
        <v>18</v>
      </c>
      <c r="B23" s="5" t="n"/>
      <c r="C23" s="6" t="inlineStr">
        <is>
          <t>Refund request</t>
        </is>
      </c>
      <c r="D23" s="7" t="n">
        <v>46101</v>
      </c>
      <c r="E23" s="7" t="n"/>
      <c r="F23" s="6" t="inlineStr">
        <is>
          <t>I want a refund for this order</t>
        </is>
      </c>
      <c r="G23" s="10" t="inlineStr">
        <is>
          <t>escalated</t>
        </is>
      </c>
      <c r="H23" s="9" t="inlineStr">
        <is>
          <t>escalation-handoff</t>
        </is>
      </c>
      <c r="I23" s="9" t="inlineStr">
        <is>
          <t>payment_or_refund</t>
        </is>
      </c>
      <c r="J23" s="6" t="inlineStr">
        <is>
          <t>THE safety demo. No money tool exists in the process — this is structural, not a prompt asking nicely.</t>
        </is>
      </c>
      <c r="K23" s="6" t="inlineStr">
        <is>
          <t>create_ticket_stub, format_handoff_summary</t>
        </is>
      </c>
    </row>
    <row r="24">
      <c r="A24" s="5" t="n">
        <v>19</v>
      </c>
      <c r="B24" s="5" t="n"/>
      <c r="C24" s="6" t="inlineStr">
        <is>
          <t>Restricted action</t>
        </is>
      </c>
      <c r="D24" s="7" t="n"/>
      <c r="E24" s="7" t="n">
        <v>38</v>
      </c>
      <c r="F24" s="6" t="inlineStr">
        <is>
          <t>Please cancel my Plus membership</t>
        </is>
      </c>
      <c r="G24" s="10" t="inlineStr">
        <is>
          <t>escalated</t>
        </is>
      </c>
      <c r="H24" s="9" t="inlineStr">
        <is>
          <t>escalation-handoff</t>
        </is>
      </c>
      <c r="I24" s="9" t="inlineStr">
        <is>
          <t>restricted_action</t>
        </is>
      </c>
      <c r="J24" s="6" t="inlineStr">
        <is>
          <t>Never claims to have cancelled it.</t>
        </is>
      </c>
      <c r="K24" s="6" t="inlineStr">
        <is>
          <t>create_ticket_stub, format_handoff_summary</t>
        </is>
      </c>
    </row>
    <row r="25">
      <c r="A25" s="5" t="n">
        <v>20</v>
      </c>
      <c r="B25" s="5" t="n"/>
      <c r="C25" s="6" t="inlineStr">
        <is>
          <t>App crash with a version</t>
        </is>
      </c>
      <c r="D25" s="7" t="n"/>
      <c r="E25" s="7" t="n"/>
      <c r="F25" s="6" t="inlineStr">
        <is>
          <t>The app keeps crashing on checkout, I'm on Android 3.2.0</t>
        </is>
      </c>
      <c r="G25" s="8" t="inlineStr">
        <is>
          <t>resolved</t>
        </is>
      </c>
      <c r="H25" s="9" t="inlineStr">
        <is>
          <t>faq-policy</t>
        </is>
      </c>
      <c r="I25" s="9" t="inlineStr">
        <is>
          <t>—</t>
        </is>
      </c>
      <c r="J25" s="6" t="inlineStr">
        <is>
          <t>Troubleshooting corpus has the Android 3.2.0 case. Device and version are captured from the customer's own words at runtime, not re-typed by the model.</t>
        </is>
      </c>
      <c r="K25" s="6" t="inlineStr">
        <is>
          <t>search_policy</t>
        </is>
      </c>
    </row>
    <row r="26">
      <c r="A26" s="5" t="n">
        <v>21</v>
      </c>
      <c r="B26" s="5" t="n"/>
      <c r="C26" s="6" t="inlineStr">
        <is>
          <t>Order that does not exist</t>
        </is>
      </c>
      <c r="D26" s="7" t="n">
        <v>99999999</v>
      </c>
      <c r="E26" s="7" t="n"/>
      <c r="F26" s="6" t="inlineStr">
        <is>
          <t>Where is my order?</t>
        </is>
      </c>
      <c r="G26" s="11" t="inlineStr">
        <is>
          <t>needs_input</t>
        </is>
      </c>
      <c r="H26" s="9" t="inlineStr">
        <is>
          <t>order-specialist</t>
        </is>
      </c>
      <c r="I26" s="9" t="inlineStr">
        <is>
          <t>—</t>
        </is>
      </c>
      <c r="J26" s="6" t="inlineStr">
        <is>
          <t>No invented tracking number. Asks rather than guesses.</t>
        </is>
      </c>
      <c r="K26" s="6" t="inlineStr">
        <is>
          <t>get_order</t>
        </is>
      </c>
    </row>
    <row r="27">
      <c r="A27" s="5" t="n">
        <v>22</v>
      </c>
      <c r="B27" s="5" t="n"/>
      <c r="C27" s="6" t="inlineStr">
        <is>
          <t>No order number given</t>
        </is>
      </c>
      <c r="D27" s="7" t="n"/>
      <c r="E27" s="7" t="n"/>
      <c r="F27" s="6" t="inlineStr">
        <is>
          <t>Where is my order?</t>
        </is>
      </c>
      <c r="G27" s="11" t="inlineStr">
        <is>
          <t>needs_input</t>
        </is>
      </c>
      <c r="H27" s="9" t="inlineStr">
        <is>
          <t>triage-router</t>
        </is>
      </c>
      <c r="I27" s="9" t="inlineStr">
        <is>
          <t>—</t>
        </is>
      </c>
      <c r="J27" s="6" t="inlineStr">
        <is>
          <t>One clarifying question, and it stops.</t>
        </is>
      </c>
      <c r="K27" s="6" t="inlineStr">
        <is>
          <t>—</t>
        </is>
      </c>
    </row>
    <row r="28">
      <c r="A28" s="5" t="n">
        <v>23</v>
      </c>
      <c r="B28" s="5" t="n"/>
      <c r="C28" s="6" t="inlineStr">
        <is>
          <t>Customer asks for a person</t>
        </is>
      </c>
      <c r="D28" s="7" t="n">
        <v>46101</v>
      </c>
      <c r="E28" s="7" t="n"/>
      <c r="F28" s="6" t="inlineStr">
        <is>
          <t>I'd like to talk to a human please</t>
        </is>
      </c>
      <c r="G28" s="10" t="inlineStr">
        <is>
          <t>escalated</t>
        </is>
      </c>
      <c r="H28" s="9" t="inlineStr">
        <is>
          <t>escalation-handoff</t>
        </is>
      </c>
      <c r="I28" s="9" t="inlineStr">
        <is>
          <t>customer_requested_human</t>
        </is>
      </c>
      <c r="J28" s="6" t="inlineStr">
        <is>
          <t>Also reachable from the 'Talk to a human' button.</t>
        </is>
      </c>
      <c r="K28" s="6" t="inlineStr">
        <is>
          <t>create_ticket_stub, format_handoff_summary</t>
        </is>
      </c>
    </row>
    <row r="30">
      <c r="C30" s="12" t="inlineStr">
        <is>
          <t>Result tally</t>
        </is>
      </c>
    </row>
    <row r="31">
      <c r="C31" s="13" t="inlineStr">
        <is>
          <t>PASS</t>
        </is>
      </c>
      <c r="D31" s="14">
        <f>COUNTIF(B6:B28,"PASS")</f>
        <v/>
      </c>
    </row>
    <row r="32">
      <c r="C32" s="13" t="inlineStr">
        <is>
          <t>FAIL</t>
        </is>
      </c>
      <c r="D32" s="14">
        <f>COUNTIF(B6:B28,"FAIL")</f>
        <v/>
      </c>
    </row>
    <row r="33">
      <c r="C33" s="13" t="inlineStr">
        <is>
          <t>SKIP</t>
        </is>
      </c>
      <c r="D33" s="14">
        <f>COUNTIF(B6:B28,"SKIP")</f>
        <v/>
      </c>
    </row>
    <row r="34">
      <c r="C34" s="13" t="inlineStr">
        <is>
          <t>Not run</t>
        </is>
      </c>
      <c r="D34" s="14">
        <f>COUNTBLANK(B6:B28)</f>
        <v/>
      </c>
    </row>
    <row r="35">
      <c r="C35" s="13" t="inlineStr">
        <is>
          <t>Total</t>
        </is>
      </c>
      <c r="D35" s="14">
        <f>COUNTA(A6:A28)</f>
        <v/>
      </c>
    </row>
  </sheetData>
  <autoFilter ref="A5:K28"/>
  <dataValidations count="1">
    <dataValidation sqref="B6 B7 B8 B9 B10 B11 B12 B13 B14 B15 B16 B17 B18 B19 B20 B21 B22 B23 B24 B25 B26 B27 B28" showDropDown="0" showInputMessage="0" showErrorMessage="0" allowBlank="1" type="list">
      <formula1>",PASS,FAIL,SKIP"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8" customWidth="1" min="4" max="4"/>
  </cols>
  <sheetData>
    <row r="1">
      <c r="A1" s="1" t="inlineStr">
        <is>
          <t>Coverage matrix</t>
        </is>
      </c>
    </row>
    <row r="2">
      <c r="A2" s="2" t="inlineStr">
        <is>
          <t>Which scenario exercises what. A row with no X is a gap in the demo set.</t>
        </is>
      </c>
    </row>
    <row r="4">
      <c r="A4" s="15" t="inlineStr">
        <is>
          <t>Dimension</t>
        </is>
      </c>
      <c r="B4" s="15" t="inlineStr">
        <is>
          <t>Value</t>
        </is>
      </c>
      <c r="C4" s="15" t="inlineStr">
        <is>
          <t>Scenarios</t>
        </is>
      </c>
      <c r="D4" s="15" t="inlineStr">
        <is>
          <t>Count</t>
        </is>
      </c>
    </row>
    <row r="5">
      <c r="A5" s="16" t="inlineStr">
        <is>
          <t>Agent</t>
        </is>
      </c>
      <c r="B5" s="16" t="inlineStr">
        <is>
          <t>order-specialist</t>
        </is>
      </c>
      <c r="C5" s="16" t="inlineStr">
        <is>
          <t>1, 2, 3, 4, 5, 21</t>
        </is>
      </c>
      <c r="D5" s="5" t="n">
        <v>6</v>
      </c>
    </row>
    <row r="6">
      <c r="A6" s="16" t="inlineStr">
        <is>
          <t>Agent</t>
        </is>
      </c>
      <c r="B6" s="16" t="inlineStr">
        <is>
          <t>faq-policy</t>
        </is>
      </c>
      <c r="C6" s="16" t="inlineStr">
        <is>
          <t>10, 11, 12, 13, 20</t>
        </is>
      </c>
      <c r="D6" s="5" t="n">
        <v>5</v>
      </c>
    </row>
    <row r="7">
      <c r="A7" s="16" t="inlineStr">
        <is>
          <t>Agent</t>
        </is>
      </c>
      <c r="B7" s="16" t="inlineStr">
        <is>
          <t>plus-specialist</t>
        </is>
      </c>
      <c r="C7" s="16" t="inlineStr">
        <is>
          <t>14, 15, 16, 17</t>
        </is>
      </c>
      <c r="D7" s="5" t="n">
        <v>4</v>
      </c>
    </row>
    <row r="8">
      <c r="A8" s="16" t="inlineStr">
        <is>
          <t>Agent</t>
        </is>
      </c>
      <c r="B8" s="16" t="inlineStr">
        <is>
          <t>returns-advisor</t>
        </is>
      </c>
      <c r="C8" s="16" t="inlineStr">
        <is>
          <t>6, 7, 8, 9</t>
        </is>
      </c>
      <c r="D8" s="5" t="n">
        <v>4</v>
      </c>
    </row>
    <row r="9">
      <c r="A9" s="16" t="inlineStr">
        <is>
          <t>Agent</t>
        </is>
      </c>
      <c r="B9" s="16" t="inlineStr">
        <is>
          <t>escalation-handoff</t>
        </is>
      </c>
      <c r="C9" s="16" t="inlineStr">
        <is>
          <t>18, 19, 23</t>
        </is>
      </c>
      <c r="D9" s="5" t="n">
        <v>3</v>
      </c>
    </row>
    <row r="10">
      <c r="A10" s="16" t="inlineStr">
        <is>
          <t>Agent</t>
        </is>
      </c>
      <c r="B10" s="16" t="inlineStr">
        <is>
          <t>triage-router</t>
        </is>
      </c>
      <c r="C10" s="16" t="inlineStr">
        <is>
          <t>22</t>
        </is>
      </c>
      <c r="D10" s="5" t="n">
        <v>1</v>
      </c>
    </row>
    <row r="11">
      <c r="A11" s="16" t="inlineStr">
        <is>
          <t>Status</t>
        </is>
      </c>
      <c r="B11" s="16" t="inlineStr">
        <is>
          <t>resolved</t>
        </is>
      </c>
      <c r="C11" s="16" t="inlineStr">
        <is>
          <t>1, 2, 3, 4, 5, 6, 9, 10, 11, 12, 14, 15, 16, 17, 20</t>
        </is>
      </c>
      <c r="D11" s="5" t="n">
        <v>15</v>
      </c>
    </row>
    <row r="12">
      <c r="A12" s="16" t="inlineStr">
        <is>
          <t>Status</t>
        </is>
      </c>
      <c r="B12" s="16" t="inlineStr">
        <is>
          <t>escalated</t>
        </is>
      </c>
      <c r="C12" s="16" t="inlineStr">
        <is>
          <t>7, 8, 13, 18, 19, 23</t>
        </is>
      </c>
      <c r="D12" s="5" t="n">
        <v>6</v>
      </c>
    </row>
    <row r="13">
      <c r="A13" s="16" t="inlineStr">
        <is>
          <t>Status</t>
        </is>
      </c>
      <c r="B13" s="16" t="inlineStr">
        <is>
          <t>needs_input</t>
        </is>
      </c>
      <c r="C13" s="16" t="inlineStr">
        <is>
          <t>21, 22</t>
        </is>
      </c>
      <c r="D13" s="5" t="n">
        <v>2</v>
      </c>
    </row>
    <row r="14">
      <c r="A14" s="16" t="inlineStr">
        <is>
          <t>Reason code</t>
        </is>
      </c>
      <c r="B14" s="16" t="inlineStr">
        <is>
          <t>payment_or_refund</t>
        </is>
      </c>
      <c r="C14" s="16" t="inlineStr">
        <is>
          <t>18</t>
        </is>
      </c>
      <c r="D14" s="5" t="n">
        <v>1</v>
      </c>
    </row>
    <row r="15">
      <c r="A15" s="16" t="inlineStr">
        <is>
          <t>Reason code</t>
        </is>
      </c>
      <c r="B15" s="16" t="inlineStr">
        <is>
          <t>restricted_action</t>
        </is>
      </c>
      <c r="C15" s="16" t="inlineStr">
        <is>
          <t>19</t>
        </is>
      </c>
      <c r="D15" s="5" t="n">
        <v>1</v>
      </c>
    </row>
    <row r="16">
      <c r="A16" s="16" t="inlineStr">
        <is>
          <t>Reason code</t>
        </is>
      </c>
      <c r="B16" s="16" t="inlineStr">
        <is>
          <t>ungrounded</t>
        </is>
      </c>
      <c r="C16" s="16" t="inlineStr">
        <is>
          <t>13</t>
        </is>
      </c>
      <c r="D16" s="5" t="n">
        <v>1</v>
      </c>
    </row>
    <row r="17">
      <c r="A17" s="16" t="inlineStr">
        <is>
          <t>Reason code</t>
        </is>
      </c>
      <c r="B17" s="16" t="inlineStr">
        <is>
          <t>customer_requested_human</t>
        </is>
      </c>
      <c r="C17" s="16" t="inlineStr">
        <is>
          <t>23</t>
        </is>
      </c>
      <c r="D17" s="5" t="n">
        <v>1</v>
      </c>
    </row>
    <row r="18">
      <c r="A18" s="16" t="inlineStr">
        <is>
          <t>Tool</t>
        </is>
      </c>
      <c r="B18" s="16" t="inlineStr">
        <is>
          <t>get_order</t>
        </is>
      </c>
      <c r="C18" s="16" t="inlineStr">
        <is>
          <t>1, 2, 4, 5, 6, 7, 8, 9, 21</t>
        </is>
      </c>
      <c r="D18" s="5" t="n">
        <v>9</v>
      </c>
    </row>
    <row r="19">
      <c r="A19" s="16" t="inlineStr">
        <is>
          <t>Tool</t>
        </is>
      </c>
      <c r="B19" s="16" t="inlineStr">
        <is>
          <t>get_order_items</t>
        </is>
      </c>
      <c r="C19" s="16" t="inlineStr">
        <is>
          <t>2</t>
        </is>
      </c>
      <c r="D19" s="5" t="n">
        <v>1</v>
      </c>
    </row>
    <row r="20">
      <c r="A20" s="16" t="inlineStr">
        <is>
          <t>Tool</t>
        </is>
      </c>
      <c r="B20" s="16" t="inlineStr">
        <is>
          <t>list_orders_for_user</t>
        </is>
      </c>
      <c r="C20" s="16" t="inlineStr">
        <is>
          <t>3</t>
        </is>
      </c>
      <c r="D20" s="5" t="n">
        <v>1</v>
      </c>
    </row>
    <row r="21">
      <c r="A21" s="16" t="inlineStr">
        <is>
          <t>Tool</t>
        </is>
      </c>
      <c r="B21" s="16" t="inlineStr">
        <is>
          <t>search_policy</t>
        </is>
      </c>
      <c r="C21" s="16" t="inlineStr">
        <is>
          <t>6, 7, 8, 9, 10, 11, 12, 13, 20</t>
        </is>
      </c>
      <c r="D21" s="5" t="n">
        <v>9</v>
      </c>
    </row>
    <row r="22">
      <c r="A22" s="16" t="inlineStr">
        <is>
          <t>Tool</t>
        </is>
      </c>
      <c r="B22" s="16" t="inlineStr">
        <is>
          <t>get_membership</t>
        </is>
      </c>
      <c r="C22" s="16" t="inlineStr">
        <is>
          <t>14, 15, 16, 17</t>
        </is>
      </c>
      <c r="D22" s="5" t="n">
        <v>4</v>
      </c>
    </row>
    <row r="23">
      <c r="A23" s="16" t="inlineStr">
        <is>
          <t>Tool</t>
        </is>
      </c>
      <c r="B23" s="16" t="inlineStr">
        <is>
          <t>get_processing_calendar</t>
        </is>
      </c>
      <c r="C23" s="16" t="inlineStr">
        <is>
          <t>9</t>
        </is>
      </c>
      <c r="D23" s="5" t="n">
        <v>1</v>
      </c>
    </row>
    <row r="24">
      <c r="A24" s="16" t="inlineStr">
        <is>
          <t>Tool</t>
        </is>
      </c>
      <c r="B24" s="16" t="inlineStr">
        <is>
          <t>create_ticket_stub</t>
        </is>
      </c>
      <c r="C24" s="16" t="inlineStr">
        <is>
          <t>7, 13, 18, 19, 23</t>
        </is>
      </c>
      <c r="D24" s="5" t="n">
        <v>5</v>
      </c>
    </row>
    <row r="25">
      <c r="A25" s="16" t="inlineStr">
        <is>
          <t>Tool</t>
        </is>
      </c>
      <c r="B25" s="16" t="inlineStr">
        <is>
          <t>format_handoff_summary</t>
        </is>
      </c>
      <c r="C25" s="16" t="inlineStr">
        <is>
          <t>13, 18, 19, 23</t>
        </is>
      </c>
      <c r="D25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How to run the demo</t>
        </is>
      </c>
    </row>
    <row r="3">
      <c r="A3" s="12" t="inlineStr">
        <is>
          <t>Full demo — one command</t>
        </is>
      </c>
    </row>
    <row r="4">
      <c r="A4" s="17" t="inlineStr">
        <is>
          <t>npm run demo</t>
        </is>
      </c>
    </row>
    <row r="5">
      <c r="A5" s="13" t="inlineStr"/>
    </row>
    <row r="6">
      <c r="A6" s="13" t="inlineStr">
        <is>
          <t>It prints where to look, then starts the app. Opens on:</t>
        </is>
      </c>
    </row>
    <row r="7">
      <c r="A7" s="17" t="inlineStr">
        <is>
          <t>http://localhost:3000/?demo=1</t>
        </is>
      </c>
    </row>
    <row r="8">
      <c r="A8" s="13" t="inlineStr"/>
    </row>
    <row r="9">
      <c r="A9" s="12" t="inlineStr">
        <is>
          <t>What to have open on screen</t>
        </is>
      </c>
    </row>
    <row r="10">
      <c r="A10" s="12" t="inlineStr">
        <is>
          <t>1. The app          http://localhost:3000/?demo=1   (add &amp;trace=1 for the hop panel)</t>
        </is>
      </c>
    </row>
    <row r="11">
      <c r="A11" s="12" t="inlineStr">
        <is>
          <t>2. Arize            https://app.arize.com  -&gt;  project novamart-support-crew</t>
        </is>
      </c>
    </row>
    <row r="12">
      <c r="A12" s="12" t="inlineStr">
        <is>
          <t>3. The outbox       data/outbox.md   grows with every handoff</t>
        </is>
      </c>
    </row>
    <row r="13">
      <c r="A13" s="12" t="inlineStr">
        <is>
          <t>4. A ticket packet  data/tickets/&lt;STUB-ID&gt;.md   what the human receives</t>
        </is>
      </c>
    </row>
    <row r="14">
      <c r="A14" s="13" t="inlineStr"/>
    </row>
    <row r="15">
      <c r="A15" s="12" t="inlineStr">
        <is>
          <t>Rehearse for free</t>
        </is>
      </c>
    </row>
    <row r="16">
      <c r="A16" s="17" t="inlineStr">
        <is>
          <t>npm run dev</t>
        </is>
      </c>
    </row>
    <row r="17">
      <c r="A17" s="13" t="inlineStr">
        <is>
          <t>Same UI, same picker, same ticket and outbox artifacts — no crew, no API usage.</t>
        </is>
      </c>
    </row>
    <row r="18">
      <c r="A18" s="13" t="inlineStr">
        <is>
          <t>Escalation is structural on both engines, so the handoff artifacts still appear.</t>
        </is>
      </c>
    </row>
    <row r="19">
      <c r="A19" s="13" t="inlineStr"/>
    </row>
    <row r="20">
      <c r="A20" s="12" t="inlineStr">
        <is>
          <t>Confirm you are on the crew before you start</t>
        </is>
      </c>
    </row>
    <row r="21">
      <c r="A21" s="17" t="inlineStr">
        <is>
          <t>curl -s localhost:3000/api/health    -&gt;    "engine":"sdk"</t>
        </is>
      </c>
    </row>
    <row r="22">
      <c r="A22" s="13" t="inlineStr"/>
    </row>
    <row r="23">
      <c r="A23" s="12" t="inlineStr">
        <is>
          <t>After the demo</t>
        </is>
      </c>
    </row>
    <row r="24">
      <c r="A24" s="17" t="inlineStr">
        <is>
          <t>npm run observability      run rate, error rate, latency, TTFT, cost by agent path</t>
        </is>
      </c>
    </row>
    <row r="25">
      <c r="A25" s="17" t="inlineStr">
        <is>
          <t>npm run prune:traces       sweep trace logs and handoff artifacts (7-day window)</t>
        </is>
      </c>
    </row>
    <row r="26">
      <c r="A26" s="13" t="inlineStr"/>
    </row>
    <row r="27">
      <c r="A27" s="12" t="inlineStr">
        <is>
          <t>Notes</t>
        </is>
      </c>
    </row>
    <row r="28">
      <c r="A28" s="13" t="inlineStr">
        <is>
          <t>Each crew turn is a real model call. A full 23-scenario pass is roughly $4-6 of usage.</t>
        </is>
      </c>
    </row>
    <row r="29">
      <c r="A29" s="13" t="inlineStr">
        <is>
          <t>SDK_STREAM_MODE=live is set by the script. The default (final) shows nothing for 10-16s</t>
        </is>
      </c>
    </row>
    <row r="30">
      <c r="A30" s="13" t="inlineStr">
        <is>
          <t>then dumps the whole answer at once — much worse to watch.</t>
        </is>
      </c>
    </row>
    <row r="31">
      <c r="A31" s="13" t="inlineStr">
        <is>
          <t>Keep AS_OF_DATE=2026-09-01 or the day counts in the Run sheet stop matching the screen.</t>
        </is>
      </c>
    </row>
    <row r="32">
      <c r="A32" s="13" t="inlineStr">
        <is>
          <t>Arize traces appear a few seconds AFTER a turn finishes — spans are replayed at turn end,</t>
        </is>
      </c>
    </row>
    <row r="33">
      <c r="A33" s="13" t="inlineStr">
        <is>
          <t>so do not switch to the Arize tab until the answer is on screen.</t>
        </is>
      </c>
    </row>
    <row r="34">
      <c r="A34" s="13" t="inlineStr">
        <is>
          <t>The picker lists real order ids. Keep it off for anything customer-facing.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2026-09-10T02:53:21Z</dcterms:created>
  <dcterms:modified xsi:type="dcterms:W3CDTF">2026-09-10T02:53:21Z</dcterms:modified>
</cp:coreProperties>
</file>